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" sheetId="1" state="visible" r:id="rId3"/>
    <sheet name="Verifikasi" sheetId="2" state="visible" r:id="rId4"/>
    <sheet name="Dokumentasi" sheetId="3" state="visible" r:id="rId5"/>
  </sheets>
  <definedNames>
    <definedName function="false" hidden="true" localSheetId="0" name="_xlnm._FilterDatabase" vbProcedure="false">Dataset!$A$1:$F$155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<sst xmlns="http://schemas.openxmlformats.org/spreadsheetml/2006/main" count="517" uniqueCount="362">
  <si>
    <t xml:space="preserve">Provinsi</t>
  </si>
  <si>
    <t xml:space="preserve">Kode Kab/Kota</t>
  </si>
  <si>
    <t xml:space="preserve">Kabupaten/Kota</t>
  </si>
  <si>
    <t xml:space="preserve">Puskesmas Non Rawat Inap</t>
  </si>
  <si>
    <t xml:space="preserve">Puskesmas Rawat Inap</t>
  </si>
  <si>
    <t xml:space="preserve">Jumlah Puskesmas</t>
  </si>
  <si>
    <t xml:space="preserve">Aceh</t>
  </si>
  <si>
    <t xml:space="preserve">1101</t>
  </si>
  <si>
    <t xml:space="preserve">ACEH SELATAN</t>
  </si>
  <si>
    <t xml:space="preserve">1102</t>
  </si>
  <si>
    <t xml:space="preserve">ACEH TENGGARA</t>
  </si>
  <si>
    <t xml:space="preserve">1103</t>
  </si>
  <si>
    <t xml:space="preserve">ACEH TIMUR</t>
  </si>
  <si>
    <t xml:space="preserve">1104</t>
  </si>
  <si>
    <t xml:space="preserve">ACEH TENGAH</t>
  </si>
  <si>
    <t xml:space="preserve">1105</t>
  </si>
  <si>
    <t xml:space="preserve">ACEH BARAT</t>
  </si>
  <si>
    <t xml:space="preserve">1106</t>
  </si>
  <si>
    <t xml:space="preserve">ACEH BESAR</t>
  </si>
  <si>
    <t xml:space="preserve">1107</t>
  </si>
  <si>
    <t xml:space="preserve">PIDIE</t>
  </si>
  <si>
    <t xml:space="preserve">1108</t>
  </si>
  <si>
    <t xml:space="preserve">ACEH UTARA</t>
  </si>
  <si>
    <t xml:space="preserve">1109</t>
  </si>
  <si>
    <t xml:space="preserve">SIMEULUE</t>
  </si>
  <si>
    <t xml:space="preserve">1110</t>
  </si>
  <si>
    <t xml:space="preserve">ACEH SINGKIL</t>
  </si>
  <si>
    <t xml:space="preserve">1111</t>
  </si>
  <si>
    <t xml:space="preserve">BIREUEN</t>
  </si>
  <si>
    <t xml:space="preserve">1112</t>
  </si>
  <si>
    <t xml:space="preserve">ACEH BARAT DAYA</t>
  </si>
  <si>
    <t xml:space="preserve">1113</t>
  </si>
  <si>
    <t xml:space="preserve">GAYO LUES</t>
  </si>
  <si>
    <t xml:space="preserve">1114</t>
  </si>
  <si>
    <t xml:space="preserve">ACEH JAYA</t>
  </si>
  <si>
    <t xml:space="preserve">1115</t>
  </si>
  <si>
    <t xml:space="preserve">NAGAN RAYA</t>
  </si>
  <si>
    <t xml:space="preserve">1116</t>
  </si>
  <si>
    <t xml:space="preserve">ACEH TAMIANG</t>
  </si>
  <si>
    <t xml:space="preserve">1117</t>
  </si>
  <si>
    <t xml:space="preserve">BENER MERIAH</t>
  </si>
  <si>
    <t xml:space="preserve">1118</t>
  </si>
  <si>
    <t xml:space="preserve">PIDIE JAYA</t>
  </si>
  <si>
    <t xml:space="preserve">1171</t>
  </si>
  <si>
    <t xml:space="preserve">KOTA BANDA ACEH</t>
  </si>
  <si>
    <t xml:space="preserve">1172</t>
  </si>
  <si>
    <t xml:space="preserve">KOTA SABANG</t>
  </si>
  <si>
    <t xml:space="preserve">1173</t>
  </si>
  <si>
    <t xml:space="preserve">KOTA LHOKSEUMAWE</t>
  </si>
  <si>
    <t xml:space="preserve">1174</t>
  </si>
  <si>
    <t xml:space="preserve">KOTA LANGSA</t>
  </si>
  <si>
    <t xml:space="preserve">1175</t>
  </si>
  <si>
    <t xml:space="preserve">KOTA SUBULUSSALAM</t>
  </si>
  <si>
    <t xml:space="preserve">Sumatera Utara</t>
  </si>
  <si>
    <t xml:space="preserve">1201</t>
  </si>
  <si>
    <t xml:space="preserve">TAPANULI TENGAH</t>
  </si>
  <si>
    <t xml:space="preserve">1202</t>
  </si>
  <si>
    <t xml:space="preserve">TAPANULI UTARA</t>
  </si>
  <si>
    <t xml:space="preserve">1203</t>
  </si>
  <si>
    <t xml:space="preserve">TAPANULI SELATAN</t>
  </si>
  <si>
    <t xml:space="preserve">1204</t>
  </si>
  <si>
    <t xml:space="preserve">NIAS</t>
  </si>
  <si>
    <t xml:space="preserve">1205</t>
  </si>
  <si>
    <t xml:space="preserve">LANGKAT</t>
  </si>
  <si>
    <t xml:space="preserve">1206</t>
  </si>
  <si>
    <t xml:space="preserve">KARO</t>
  </si>
  <si>
    <t xml:space="preserve">1207</t>
  </si>
  <si>
    <t xml:space="preserve">DELI SERDANG</t>
  </si>
  <si>
    <t xml:space="preserve">1208</t>
  </si>
  <si>
    <t xml:space="preserve">SIMALUNGUN</t>
  </si>
  <si>
    <t xml:space="preserve">1209</t>
  </si>
  <si>
    <t xml:space="preserve">ASAHAN</t>
  </si>
  <si>
    <t xml:space="preserve">1210</t>
  </si>
  <si>
    <t xml:space="preserve">LABUHAN BATU</t>
  </si>
  <si>
    <t xml:space="preserve">1211</t>
  </si>
  <si>
    <t xml:space="preserve">DAIRI</t>
  </si>
  <si>
    <t xml:space="preserve">1212</t>
  </si>
  <si>
    <t xml:space="preserve">TOBA SAMOSIR</t>
  </si>
  <si>
    <t xml:space="preserve">1213</t>
  </si>
  <si>
    <t xml:space="preserve">MANDAILING NATAL</t>
  </si>
  <si>
    <t xml:space="preserve">1214</t>
  </si>
  <si>
    <t xml:space="preserve">NIAS SELATAN</t>
  </si>
  <si>
    <t xml:space="preserve">1215</t>
  </si>
  <si>
    <t xml:space="preserve">PAKPAK BHARAT</t>
  </si>
  <si>
    <t xml:space="preserve">1216</t>
  </si>
  <si>
    <t xml:space="preserve">HUMBANG HASUNDUTAN</t>
  </si>
  <si>
    <t xml:space="preserve">1217</t>
  </si>
  <si>
    <t xml:space="preserve">SAMOSIR</t>
  </si>
  <si>
    <t xml:space="preserve">1218</t>
  </si>
  <si>
    <t xml:space="preserve">SERDANG BEDAGAI</t>
  </si>
  <si>
    <t xml:space="preserve">1219</t>
  </si>
  <si>
    <t xml:space="preserve">BATU BARA</t>
  </si>
  <si>
    <t xml:space="preserve">1220</t>
  </si>
  <si>
    <t xml:space="preserve">PADANG LAWAS UTARA</t>
  </si>
  <si>
    <t xml:space="preserve">1221</t>
  </si>
  <si>
    <t xml:space="preserve">PADANG LAWAS</t>
  </si>
  <si>
    <t xml:space="preserve">1222</t>
  </si>
  <si>
    <t xml:space="preserve">LABUHAN BATU SELATAN</t>
  </si>
  <si>
    <t xml:space="preserve">1223</t>
  </si>
  <si>
    <t xml:space="preserve">LABUHAN BATU UTARA</t>
  </si>
  <si>
    <t xml:space="preserve">1224</t>
  </si>
  <si>
    <t xml:space="preserve">NIAS UTARA</t>
  </si>
  <si>
    <t xml:space="preserve">1225</t>
  </si>
  <si>
    <t xml:space="preserve">NIAS BARAT</t>
  </si>
  <si>
    <t xml:space="preserve">1271</t>
  </si>
  <si>
    <t xml:space="preserve">KOTA MEDAN</t>
  </si>
  <si>
    <t xml:space="preserve">1272</t>
  </si>
  <si>
    <t xml:space="preserve">KOTA PEMATANG SIANTAR</t>
  </si>
  <si>
    <t xml:space="preserve">1273</t>
  </si>
  <si>
    <t xml:space="preserve">KOTA SIBOLGA</t>
  </si>
  <si>
    <t xml:space="preserve">1274</t>
  </si>
  <si>
    <t xml:space="preserve">KOTA TANJUNG BALAI</t>
  </si>
  <si>
    <t xml:space="preserve">1275</t>
  </si>
  <si>
    <t xml:space="preserve">KOTA BINJAI</t>
  </si>
  <si>
    <t xml:space="preserve">1276</t>
  </si>
  <si>
    <t xml:space="preserve">KOTA TEBING TINGGI</t>
  </si>
  <si>
    <t xml:space="preserve">1277</t>
  </si>
  <si>
    <t xml:space="preserve">KOTA PADANG SIDEMPUAN</t>
  </si>
  <si>
    <t xml:space="preserve">1278</t>
  </si>
  <si>
    <t xml:space="preserve">KOTA GUNUNGSITOLI</t>
  </si>
  <si>
    <t xml:space="preserve">Sumatera Barat</t>
  </si>
  <si>
    <t xml:space="preserve">1301</t>
  </si>
  <si>
    <t xml:space="preserve">PESISIR SELATAN</t>
  </si>
  <si>
    <t xml:space="preserve">1302</t>
  </si>
  <si>
    <t xml:space="preserve">SOLOK</t>
  </si>
  <si>
    <t xml:space="preserve">1303</t>
  </si>
  <si>
    <t xml:space="preserve">SIJUNJUNG</t>
  </si>
  <si>
    <t xml:space="preserve">1304</t>
  </si>
  <si>
    <t xml:space="preserve">TANAH DATAR</t>
  </si>
  <si>
    <t xml:space="preserve">1305</t>
  </si>
  <si>
    <t xml:space="preserve">PADANG PARIAMAN</t>
  </si>
  <si>
    <t xml:space="preserve">1306</t>
  </si>
  <si>
    <t xml:space="preserve">AGAM</t>
  </si>
  <si>
    <t xml:space="preserve">1307</t>
  </si>
  <si>
    <t xml:space="preserve">LIMA PULUH KOTA</t>
  </si>
  <si>
    <t xml:space="preserve">1308</t>
  </si>
  <si>
    <t xml:space="preserve">PASAMAN</t>
  </si>
  <si>
    <t xml:space="preserve">1309</t>
  </si>
  <si>
    <t xml:space="preserve">KEPULAUAN MENTAWAI</t>
  </si>
  <si>
    <t xml:space="preserve">1310</t>
  </si>
  <si>
    <t xml:space="preserve">DHARMASRAYA</t>
  </si>
  <si>
    <t xml:space="preserve">1311</t>
  </si>
  <si>
    <t xml:space="preserve">SOLOK SELATAN</t>
  </si>
  <si>
    <t xml:space="preserve">1312</t>
  </si>
  <si>
    <t xml:space="preserve">PASAMAN BARAT</t>
  </si>
  <si>
    <t xml:space="preserve">1371</t>
  </si>
  <si>
    <t xml:space="preserve">KOTA PADANG</t>
  </si>
  <si>
    <t xml:space="preserve">1372</t>
  </si>
  <si>
    <t xml:space="preserve">KOTA SOLOK</t>
  </si>
  <si>
    <t xml:space="preserve">1373</t>
  </si>
  <si>
    <t xml:space="preserve">KOTA SAWAH LUNTO</t>
  </si>
  <si>
    <t xml:space="preserve">1374</t>
  </si>
  <si>
    <t xml:space="preserve">KOTA PADANG PANJANG</t>
  </si>
  <si>
    <t xml:space="preserve">1375</t>
  </si>
  <si>
    <t xml:space="preserve">KOTA BUKIT TINGGI</t>
  </si>
  <si>
    <t xml:space="preserve">1376</t>
  </si>
  <si>
    <t xml:space="preserve">KOTA PAYAKUMBUH</t>
  </si>
  <si>
    <t xml:space="preserve">1377</t>
  </si>
  <si>
    <t xml:space="preserve">KOTA PARIAMAN</t>
  </si>
  <si>
    <t xml:space="preserve">Riau</t>
  </si>
  <si>
    <t xml:space="preserve">1401</t>
  </si>
  <si>
    <t xml:space="preserve">KAMPAR</t>
  </si>
  <si>
    <t xml:space="preserve">1402</t>
  </si>
  <si>
    <t xml:space="preserve">INDRAGIRI HULU</t>
  </si>
  <si>
    <t xml:space="preserve">1403</t>
  </si>
  <si>
    <t xml:space="preserve">BENGKALIS</t>
  </si>
  <si>
    <t xml:space="preserve">1404</t>
  </si>
  <si>
    <t xml:space="preserve">INDRAGIRI HILIR</t>
  </si>
  <si>
    <t xml:space="preserve">1405</t>
  </si>
  <si>
    <t xml:space="preserve">PELALAWAN</t>
  </si>
  <si>
    <t xml:space="preserve">1406</t>
  </si>
  <si>
    <t xml:space="preserve">ROKAN HULU</t>
  </si>
  <si>
    <t xml:space="preserve">1407</t>
  </si>
  <si>
    <t xml:space="preserve">ROKAN HILIR</t>
  </si>
  <si>
    <t xml:space="preserve">1408</t>
  </si>
  <si>
    <t xml:space="preserve">SIAK</t>
  </si>
  <si>
    <t xml:space="preserve">1409</t>
  </si>
  <si>
    <t xml:space="preserve">KUANTAN SINGINGI</t>
  </si>
  <si>
    <t xml:space="preserve">1410</t>
  </si>
  <si>
    <t xml:space="preserve">KEPULAUAN MERANTI</t>
  </si>
  <si>
    <t xml:space="preserve">1471</t>
  </si>
  <si>
    <t xml:space="preserve">KOTA PEKANBARU</t>
  </si>
  <si>
    <t xml:space="preserve">1472</t>
  </si>
  <si>
    <t xml:space="preserve">KOTA DUMAI</t>
  </si>
  <si>
    <t xml:space="preserve">Jambi</t>
  </si>
  <si>
    <t xml:space="preserve">1501</t>
  </si>
  <si>
    <t xml:space="preserve">KERINCI</t>
  </si>
  <si>
    <t xml:space="preserve">1502</t>
  </si>
  <si>
    <t xml:space="preserve">MERANGIN</t>
  </si>
  <si>
    <t xml:space="preserve">1503</t>
  </si>
  <si>
    <t xml:space="preserve">SAROLANGUN</t>
  </si>
  <si>
    <t xml:space="preserve">1504</t>
  </si>
  <si>
    <t xml:space="preserve">BATANG HARI</t>
  </si>
  <si>
    <t xml:space="preserve">1505</t>
  </si>
  <si>
    <t xml:space="preserve">MUARO JAMBI</t>
  </si>
  <si>
    <t xml:space="preserve">1506</t>
  </si>
  <si>
    <t xml:space="preserve">TANJUNG JABUNG BARAT</t>
  </si>
  <si>
    <t xml:space="preserve">1507</t>
  </si>
  <si>
    <t xml:space="preserve">TANJUNG JABUNG TIMUR</t>
  </si>
  <si>
    <t xml:space="preserve">1508</t>
  </si>
  <si>
    <t xml:space="preserve">BUNGO</t>
  </si>
  <si>
    <t xml:space="preserve">1509</t>
  </si>
  <si>
    <t xml:space="preserve">TEBO</t>
  </si>
  <si>
    <t xml:space="preserve">1571</t>
  </si>
  <si>
    <t xml:space="preserve">KOTA JAMBI</t>
  </si>
  <si>
    <t xml:space="preserve">1572</t>
  </si>
  <si>
    <t xml:space="preserve">KOTA SUNGAI PENUH</t>
  </si>
  <si>
    <t xml:space="preserve">Sumatera Selatan</t>
  </si>
  <si>
    <t xml:space="preserve">1601</t>
  </si>
  <si>
    <t xml:space="preserve">OGAN KOMERING ULU</t>
  </si>
  <si>
    <t xml:space="preserve">1602</t>
  </si>
  <si>
    <t xml:space="preserve">OGAN KOMERING ILIR</t>
  </si>
  <si>
    <t xml:space="preserve">1603</t>
  </si>
  <si>
    <t xml:space="preserve">MUARA ENIM</t>
  </si>
  <si>
    <t xml:space="preserve">1604</t>
  </si>
  <si>
    <t xml:space="preserve">LAHAT</t>
  </si>
  <si>
    <t xml:space="preserve">1605</t>
  </si>
  <si>
    <t xml:space="preserve">MUSI RAWAS</t>
  </si>
  <si>
    <t xml:space="preserve">1606</t>
  </si>
  <si>
    <t xml:space="preserve">MUSI BANYUASIN</t>
  </si>
  <si>
    <t xml:space="preserve">1607</t>
  </si>
  <si>
    <t xml:space="preserve">BANYUASIN</t>
  </si>
  <si>
    <t xml:space="preserve">1608</t>
  </si>
  <si>
    <t xml:space="preserve">OGAN KOMERING ULU TIMUR</t>
  </si>
  <si>
    <t xml:space="preserve">1609</t>
  </si>
  <si>
    <t xml:space="preserve">OGAN KOMERING ULU SELATAN</t>
  </si>
  <si>
    <t xml:space="preserve">1610</t>
  </si>
  <si>
    <t xml:space="preserve">OGAN ILIR</t>
  </si>
  <si>
    <t xml:space="preserve">1611</t>
  </si>
  <si>
    <t xml:space="preserve">EMPAT LAWANG</t>
  </si>
  <si>
    <t xml:space="preserve">1612</t>
  </si>
  <si>
    <t xml:space="preserve">PENUKAL ABAB LEMATANG ILIR</t>
  </si>
  <si>
    <t xml:space="preserve">1613</t>
  </si>
  <si>
    <t xml:space="preserve">MUSI RAWAS UTARA</t>
  </si>
  <si>
    <t xml:space="preserve">1671</t>
  </si>
  <si>
    <t xml:space="preserve">KOTA PALEMBANG</t>
  </si>
  <si>
    <t xml:space="preserve">1672</t>
  </si>
  <si>
    <t xml:space="preserve">KOTA PAGAR ALAM</t>
  </si>
  <si>
    <t xml:space="preserve">1673</t>
  </si>
  <si>
    <t xml:space="preserve">KOTA LUBUK LINGGAU</t>
  </si>
  <si>
    <t xml:space="preserve">1674</t>
  </si>
  <si>
    <t xml:space="preserve">KOTA PRABUMULIH</t>
  </si>
  <si>
    <t xml:space="preserve">Bengkulu</t>
  </si>
  <si>
    <t xml:space="preserve">1701</t>
  </si>
  <si>
    <t xml:space="preserve">BENGKULU SELATAN</t>
  </si>
  <si>
    <t xml:space="preserve">1702</t>
  </si>
  <si>
    <t xml:space="preserve">REJANG LEBONG</t>
  </si>
  <si>
    <t xml:space="preserve">1703</t>
  </si>
  <si>
    <t xml:space="preserve">BENGKULU UTARA</t>
  </si>
  <si>
    <t xml:space="preserve">1704</t>
  </si>
  <si>
    <t xml:space="preserve">KAUR</t>
  </si>
  <si>
    <t xml:space="preserve">1705</t>
  </si>
  <si>
    <t xml:space="preserve">SELUMA</t>
  </si>
  <si>
    <t xml:space="preserve">1706</t>
  </si>
  <si>
    <t xml:space="preserve">MUKO-MUKO</t>
  </si>
  <si>
    <t xml:space="preserve">1707</t>
  </si>
  <si>
    <t xml:space="preserve">LEBONG</t>
  </si>
  <si>
    <t xml:space="preserve">1708</t>
  </si>
  <si>
    <t xml:space="preserve">KEPAHIANG</t>
  </si>
  <si>
    <t xml:space="preserve">1709</t>
  </si>
  <si>
    <t xml:space="preserve">BENGKULU TENGAH</t>
  </si>
  <si>
    <t xml:space="preserve">1771</t>
  </si>
  <si>
    <t xml:space="preserve">KOTA BENGKULU</t>
  </si>
  <si>
    <t xml:space="preserve">Lampung</t>
  </si>
  <si>
    <t xml:space="preserve">1801</t>
  </si>
  <si>
    <t xml:space="preserve">LAMPUNG SELATAN</t>
  </si>
  <si>
    <t xml:space="preserve">1802</t>
  </si>
  <si>
    <t xml:space="preserve">LAMPUNG TENGAH</t>
  </si>
  <si>
    <t xml:space="preserve">1803</t>
  </si>
  <si>
    <t xml:space="preserve">LAMPUNG UTARA</t>
  </si>
  <si>
    <t xml:space="preserve">1804</t>
  </si>
  <si>
    <t xml:space="preserve">LAMPUNG BARAT</t>
  </si>
  <si>
    <t xml:space="preserve">1805</t>
  </si>
  <si>
    <t xml:space="preserve">TULANG BAWANG</t>
  </si>
  <si>
    <t xml:space="preserve">1806</t>
  </si>
  <si>
    <t xml:space="preserve">TANGGAMUS</t>
  </si>
  <si>
    <t xml:space="preserve">1807</t>
  </si>
  <si>
    <t xml:space="preserve">LAMPUNG TIMUR</t>
  </si>
  <si>
    <t xml:space="preserve">1808</t>
  </si>
  <si>
    <t xml:space="preserve">WAY KANAN</t>
  </si>
  <si>
    <t xml:space="preserve">1809</t>
  </si>
  <si>
    <t xml:space="preserve">PESAWARAN</t>
  </si>
  <si>
    <t xml:space="preserve">1810</t>
  </si>
  <si>
    <t xml:space="preserve">PRINGSEWU</t>
  </si>
  <si>
    <t xml:space="preserve">1811</t>
  </si>
  <si>
    <t xml:space="preserve">MESUJI</t>
  </si>
  <si>
    <t xml:space="preserve">1812</t>
  </si>
  <si>
    <t xml:space="preserve">TULANG BAWANG BARAT</t>
  </si>
  <si>
    <t xml:space="preserve">1813</t>
  </si>
  <si>
    <t xml:space="preserve">PESISIR BARAT</t>
  </si>
  <si>
    <t xml:space="preserve">1871</t>
  </si>
  <si>
    <t xml:space="preserve">KOTA BANDAR LAMPUNG</t>
  </si>
  <si>
    <t xml:space="preserve">1872</t>
  </si>
  <si>
    <t xml:space="preserve">KOTA METRO</t>
  </si>
  <si>
    <t xml:space="preserve">Kepulauan Bangka Belitung</t>
  </si>
  <si>
    <t xml:space="preserve">1901</t>
  </si>
  <si>
    <t xml:space="preserve">BANGKA</t>
  </si>
  <si>
    <t xml:space="preserve">1902</t>
  </si>
  <si>
    <t xml:space="preserve">BELITUNG</t>
  </si>
  <si>
    <t xml:space="preserve">1903</t>
  </si>
  <si>
    <t xml:space="preserve">BANGKA SELATAN</t>
  </si>
  <si>
    <t xml:space="preserve">1904</t>
  </si>
  <si>
    <t xml:space="preserve">BANGKA TENGAH</t>
  </si>
  <si>
    <t xml:space="preserve">1905</t>
  </si>
  <si>
    <t xml:space="preserve">BANGKA BARAT</t>
  </si>
  <si>
    <t xml:space="preserve">1906</t>
  </si>
  <si>
    <t xml:space="preserve">BELITUNG TIMUR</t>
  </si>
  <si>
    <t xml:space="preserve">1971</t>
  </si>
  <si>
    <t xml:space="preserve">KOTA PANGKAL PINANG</t>
  </si>
  <si>
    <t xml:space="preserve">Kepulauan Riau</t>
  </si>
  <si>
    <t xml:space="preserve">2101</t>
  </si>
  <si>
    <t xml:space="preserve">BINTAN</t>
  </si>
  <si>
    <t xml:space="preserve">2102</t>
  </si>
  <si>
    <t xml:space="preserve">KARIMUN</t>
  </si>
  <si>
    <t xml:space="preserve">2103</t>
  </si>
  <si>
    <t xml:space="preserve">NATUNA</t>
  </si>
  <si>
    <t xml:space="preserve">2104</t>
  </si>
  <si>
    <t xml:space="preserve">LINGGA</t>
  </si>
  <si>
    <t xml:space="preserve">2105</t>
  </si>
  <si>
    <t xml:space="preserve">KEP. ANAMBAS</t>
  </si>
  <si>
    <t xml:space="preserve">2171</t>
  </si>
  <si>
    <t xml:space="preserve">KOTA BATAM</t>
  </si>
  <si>
    <t xml:space="preserve">2172</t>
  </si>
  <si>
    <t xml:space="preserve">KOTA TANJUNG PINANG</t>
  </si>
  <si>
    <t xml:space="preserve">Jumlah Kab/Kota</t>
  </si>
  <si>
    <t xml:space="preserve">Total Hitung (Dataset)</t>
  </si>
  <si>
    <t xml:space="preserve">Total Resmi (KMK)</t>
  </si>
  <si>
    <t xml:space="preserve">Selisih</t>
  </si>
  <si>
    <t xml:space="preserve">TOTAL Sumatera</t>
  </si>
  <si>
    <t xml:space="preserve">Total Resmi (kolom D) diketik dari tabel 'Jumlah Puskesmas Menurut Provinsi' pada lampiran KMK; Selisih harus 0.</t>
  </si>
  <si>
    <t xml:space="preserve">Item</t>
  </si>
  <si>
    <t xml:space="preserve">Keterangan</t>
  </si>
  <si>
    <t xml:space="preserve">Judul proyek</t>
  </si>
  <si>
    <t xml:space="preserve">Analisis Kesenjangan Ketersediaan Fasilitas Kesehatan Antarwilayah</t>
  </si>
  <si>
    <t xml:space="preserve">Batas wilayah</t>
  </si>
  <si>
    <t xml:space="preserve">Seluruh kabupaten/kota di Pulau Sumatera (10 provinsi, 154 kabupaten/kota), termasuk 7 kabupaten/kota Kepulauan Riau sebagai studi kasus</t>
  </si>
  <si>
    <t xml:space="preserve">Alasan batas wilayah</t>
  </si>
  <si>
    <t xml:space="preserve">Kepri hanya punya 7 kabupaten/kota, terlalu sedikit untuk K-Means dan regresi; Sumatera memberi 154 baris dan tetap mencakup Kepri</t>
  </si>
  <si>
    <t xml:space="preserve">Nama dataset</t>
  </si>
  <si>
    <t xml:space="preserve">Data Puskesmas Teregistrasi Semester II Tahun 2022 (Lampiran I: Jumlah Puskesmas menurut Kabupaten/Kota)</t>
  </si>
  <si>
    <t xml:space="preserve">Instansi</t>
  </si>
  <si>
    <t xml:space="preserve">Kementerian Kesehatan Republik Indonesia</t>
  </si>
  <si>
    <t xml:space="preserve">Dasar hukum / dokumen</t>
  </si>
  <si>
    <t xml:space="preserve">Keputusan Menteri Kesehatan RI Nomor HK.01.07/MENKES/1351/2023, ditetapkan 16 Mei 2023</t>
  </si>
  <si>
    <t xml:space="preserve">Tahun data</t>
  </si>
  <si>
    <t xml:space="preserve">Semester II 2022 (kondisi akhir Desember 2022)</t>
  </si>
  <si>
    <t xml:space="preserve">Tautan sumber</t>
  </si>
  <si>
    <t xml:space="preserve">https://regulasi.bkpk.kemkes.go.id/detail/54a339b7-bd1f-47d6-8cd0-1c46fa577ff6/unduh</t>
  </si>
  <si>
    <t xml:space="preserve">Format asli</t>
  </si>
  <si>
    <t xml:space="preserve">PDF (tabel), diketik ulang ke spreadsheet</t>
  </si>
  <si>
    <t xml:space="preserve">Variabel</t>
  </si>
  <si>
    <t xml:space="preserve">Kode kab/kota, nama kab/kota, puskesmas non rawat inap, puskesmas rawat inap, jumlah puskesmas</t>
  </si>
  <si>
    <t xml:space="preserve">Jumlah baris</t>
  </si>
  <si>
    <t xml:space="preserve">154 kabupaten/kota</t>
  </si>
  <si>
    <t xml:space="preserve">Validasi</t>
  </si>
  <si>
    <t xml:space="preserve">Total tiap provinsi sama dengan total resmi di dokumen (lihat sheet Verifikasi, selisih 0)</t>
  </si>
  <si>
    <t xml:space="preserve">Tanggal akses</t>
  </si>
  <si>
    <t xml:space="preserve">14 Oktober 2026</t>
  </si>
  <si>
    <t xml:space="preserve">Keterbatasan</t>
  </si>
  <si>
    <t xml:space="preserve">Hanya puskesmas; belum ada rumah sakit, tenaga kesehatan, jumlah penduduk, dan luas wilayah. Data tersebut masih perlu dicari (BPS / Kemenkes) dan digabung lewat kode kab/kota</t>
  </si>
  <si>
    <t xml:space="preserve">Kunci penggabungan</t>
  </si>
  <si>
    <t xml:space="preserve">Kolom Kode Kab/Kota (kode BPS/Kemendagri 4 digit)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</si>
</sst>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6" min="4" style="0" width="1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3" t="n">
        <v>6</v>
      </c>
      <c r="E2" s="3" t="n">
        <v>18</v>
      </c>
      <c r="F2" s="4" t="n">
        <f aca="false">D2+E2</f>
        <v>24</v>
      </c>
    </row>
    <row r="3" customFormat="false" ht="15" hidden="false" customHeight="false" outlineLevel="0" collapsed="false">
      <c r="A3" s="2" t="s">
        <v>6</v>
      </c>
      <c r="B3" s="2" t="s">
        <v>9</v>
      </c>
      <c r="C3" s="2" t="s">
        <v>10</v>
      </c>
      <c r="D3" s="3" t="n">
        <v>9</v>
      </c>
      <c r="E3" s="3" t="n">
        <v>10</v>
      </c>
      <c r="F3" s="4" t="n">
        <f aca="false">D3+E3</f>
        <v>19</v>
      </c>
    </row>
    <row r="4" customFormat="false" ht="15" hidden="false" customHeight="false" outlineLevel="0" collapsed="false">
      <c r="A4" s="2" t="s">
        <v>6</v>
      </c>
      <c r="B4" s="2" t="s">
        <v>11</v>
      </c>
      <c r="C4" s="2" t="s">
        <v>12</v>
      </c>
      <c r="D4" s="3" t="n">
        <v>20</v>
      </c>
      <c r="E4" s="3" t="n">
        <v>7</v>
      </c>
      <c r="F4" s="4" t="n">
        <f aca="false">D4+E4</f>
        <v>27</v>
      </c>
    </row>
    <row r="5" customFormat="false" ht="15" hidden="false" customHeight="false" outlineLevel="0" collapsed="false">
      <c r="A5" s="2" t="s">
        <v>6</v>
      </c>
      <c r="B5" s="2" t="s">
        <v>13</v>
      </c>
      <c r="C5" s="2" t="s">
        <v>14</v>
      </c>
      <c r="D5" s="3" t="n">
        <v>10</v>
      </c>
      <c r="E5" s="3" t="n">
        <v>7</v>
      </c>
      <c r="F5" s="4" t="n">
        <f aca="false">D5+E5</f>
        <v>17</v>
      </c>
    </row>
    <row r="6" customFormat="false" ht="15" hidden="false" customHeight="false" outlineLevel="0" collapsed="false">
      <c r="A6" s="2" t="s">
        <v>6</v>
      </c>
      <c r="B6" s="2" t="s">
        <v>15</v>
      </c>
      <c r="C6" s="2" t="s">
        <v>16</v>
      </c>
      <c r="D6" s="3" t="n">
        <v>6</v>
      </c>
      <c r="E6" s="3" t="n">
        <v>7</v>
      </c>
      <c r="F6" s="4" t="n">
        <f aca="false">D6+E6</f>
        <v>13</v>
      </c>
    </row>
    <row r="7" customFormat="false" ht="15" hidden="false" customHeight="false" outlineLevel="0" collapsed="false">
      <c r="A7" s="2" t="s">
        <v>6</v>
      </c>
      <c r="B7" s="2" t="s">
        <v>17</v>
      </c>
      <c r="C7" s="2" t="s">
        <v>18</v>
      </c>
      <c r="D7" s="3" t="n">
        <v>4</v>
      </c>
      <c r="E7" s="3" t="n">
        <v>24</v>
      </c>
      <c r="F7" s="4" t="n">
        <f aca="false">D7+E7</f>
        <v>28</v>
      </c>
    </row>
    <row r="8" customFormat="false" ht="15" hidden="false" customHeight="false" outlineLevel="0" collapsed="false">
      <c r="A8" s="2" t="s">
        <v>6</v>
      </c>
      <c r="B8" s="2" t="s">
        <v>19</v>
      </c>
      <c r="C8" s="2" t="s">
        <v>20</v>
      </c>
      <c r="D8" s="3" t="n">
        <v>18</v>
      </c>
      <c r="E8" s="3" t="n">
        <v>8</v>
      </c>
      <c r="F8" s="4" t="n">
        <f aca="false">D8+E8</f>
        <v>26</v>
      </c>
    </row>
    <row r="9" customFormat="false" ht="15" hidden="false" customHeight="false" outlineLevel="0" collapsed="false">
      <c r="A9" s="2" t="s">
        <v>6</v>
      </c>
      <c r="B9" s="2" t="s">
        <v>21</v>
      </c>
      <c r="C9" s="2" t="s">
        <v>22</v>
      </c>
      <c r="D9" s="3" t="n">
        <v>19</v>
      </c>
      <c r="E9" s="3" t="n">
        <v>13</v>
      </c>
      <c r="F9" s="4" t="n">
        <f aca="false">D9+E9</f>
        <v>32</v>
      </c>
    </row>
    <row r="10" customFormat="false" ht="15" hidden="false" customHeight="false" outlineLevel="0" collapsed="false">
      <c r="A10" s="2" t="s">
        <v>6</v>
      </c>
      <c r="B10" s="2" t="s">
        <v>23</v>
      </c>
      <c r="C10" s="2" t="s">
        <v>24</v>
      </c>
      <c r="D10" s="3" t="n">
        <v>1</v>
      </c>
      <c r="E10" s="3" t="n">
        <v>14</v>
      </c>
      <c r="F10" s="4" t="n">
        <f aca="false">D10+E10</f>
        <v>15</v>
      </c>
    </row>
    <row r="11" customFormat="false" ht="15" hidden="false" customHeight="false" outlineLevel="0" collapsed="false">
      <c r="A11" s="2" t="s">
        <v>6</v>
      </c>
      <c r="B11" s="2" t="s">
        <v>25</v>
      </c>
      <c r="C11" s="2" t="s">
        <v>26</v>
      </c>
      <c r="D11" s="3" t="n">
        <v>7</v>
      </c>
      <c r="E11" s="3" t="n">
        <v>5</v>
      </c>
      <c r="F11" s="4" t="n">
        <f aca="false">D11+E11</f>
        <v>12</v>
      </c>
    </row>
    <row r="12" customFormat="false" ht="15" hidden="false" customHeight="false" outlineLevel="0" collapsed="false">
      <c r="A12" s="2" t="s">
        <v>6</v>
      </c>
      <c r="B12" s="2" t="s">
        <v>27</v>
      </c>
      <c r="C12" s="2" t="s">
        <v>28</v>
      </c>
      <c r="D12" s="3" t="n">
        <v>4</v>
      </c>
      <c r="E12" s="3" t="n">
        <v>16</v>
      </c>
      <c r="F12" s="4" t="n">
        <f aca="false">D12+E12</f>
        <v>20</v>
      </c>
    </row>
    <row r="13" customFormat="false" ht="15" hidden="false" customHeight="false" outlineLevel="0" collapsed="false">
      <c r="A13" s="2" t="s">
        <v>6</v>
      </c>
      <c r="B13" s="2" t="s">
        <v>29</v>
      </c>
      <c r="C13" s="2" t="s">
        <v>30</v>
      </c>
      <c r="D13" s="3" t="n">
        <v>9</v>
      </c>
      <c r="E13" s="3" t="n">
        <v>4</v>
      </c>
      <c r="F13" s="4" t="n">
        <f aca="false">D13+E13</f>
        <v>13</v>
      </c>
    </row>
    <row r="14" customFormat="false" ht="15" hidden="false" customHeight="false" outlineLevel="0" collapsed="false">
      <c r="A14" s="2" t="s">
        <v>6</v>
      </c>
      <c r="B14" s="2" t="s">
        <v>31</v>
      </c>
      <c r="C14" s="2" t="s">
        <v>32</v>
      </c>
      <c r="D14" s="3" t="n">
        <v>6</v>
      </c>
      <c r="E14" s="3" t="n">
        <v>6</v>
      </c>
      <c r="F14" s="4" t="n">
        <f aca="false">D14+E14</f>
        <v>12</v>
      </c>
    </row>
    <row r="15" customFormat="false" ht="15" hidden="false" customHeight="false" outlineLevel="0" collapsed="false">
      <c r="A15" s="2" t="s">
        <v>6</v>
      </c>
      <c r="B15" s="2" t="s">
        <v>33</v>
      </c>
      <c r="C15" s="2" t="s">
        <v>34</v>
      </c>
      <c r="D15" s="3" t="n">
        <v>5</v>
      </c>
      <c r="E15" s="3" t="n">
        <v>7</v>
      </c>
      <c r="F15" s="4" t="n">
        <f aca="false">D15+E15</f>
        <v>12</v>
      </c>
    </row>
    <row r="16" customFormat="false" ht="15" hidden="false" customHeight="false" outlineLevel="0" collapsed="false">
      <c r="A16" s="2" t="s">
        <v>6</v>
      </c>
      <c r="B16" s="2" t="s">
        <v>35</v>
      </c>
      <c r="C16" s="2" t="s">
        <v>36</v>
      </c>
      <c r="D16" s="3" t="n">
        <v>8</v>
      </c>
      <c r="E16" s="3" t="n">
        <v>7</v>
      </c>
      <c r="F16" s="4" t="n">
        <f aca="false">D16+E16</f>
        <v>15</v>
      </c>
    </row>
    <row r="17" customFormat="false" ht="15" hidden="false" customHeight="false" outlineLevel="0" collapsed="false">
      <c r="A17" s="2" t="s">
        <v>6</v>
      </c>
      <c r="B17" s="2" t="s">
        <v>37</v>
      </c>
      <c r="C17" s="2" t="s">
        <v>38</v>
      </c>
      <c r="D17" s="3" t="n">
        <v>8</v>
      </c>
      <c r="E17" s="3" t="n">
        <v>7</v>
      </c>
      <c r="F17" s="4" t="n">
        <f aca="false">D17+E17</f>
        <v>15</v>
      </c>
    </row>
    <row r="18" customFormat="false" ht="15" hidden="false" customHeight="false" outlineLevel="0" collapsed="false">
      <c r="A18" s="2" t="s">
        <v>6</v>
      </c>
      <c r="B18" s="2" t="s">
        <v>39</v>
      </c>
      <c r="C18" s="2" t="s">
        <v>40</v>
      </c>
      <c r="D18" s="3" t="n">
        <v>8</v>
      </c>
      <c r="E18" s="3" t="n">
        <v>5</v>
      </c>
      <c r="F18" s="4" t="n">
        <f aca="false">D18+E18</f>
        <v>13</v>
      </c>
    </row>
    <row r="19" customFormat="false" ht="15" hidden="false" customHeight="false" outlineLevel="0" collapsed="false">
      <c r="A19" s="2" t="s">
        <v>6</v>
      </c>
      <c r="B19" s="2" t="s">
        <v>41</v>
      </c>
      <c r="C19" s="2" t="s">
        <v>42</v>
      </c>
      <c r="D19" s="3" t="n">
        <v>7</v>
      </c>
      <c r="E19" s="3" t="n">
        <v>5</v>
      </c>
      <c r="F19" s="4" t="n">
        <f aca="false">D19+E19</f>
        <v>12</v>
      </c>
    </row>
    <row r="20" customFormat="false" ht="15" hidden="false" customHeight="false" outlineLevel="0" collapsed="false">
      <c r="A20" s="2" t="s">
        <v>6</v>
      </c>
      <c r="B20" s="2" t="s">
        <v>43</v>
      </c>
      <c r="C20" s="2" t="s">
        <v>44</v>
      </c>
      <c r="D20" s="3" t="n">
        <v>11</v>
      </c>
      <c r="E20" s="3" t="n">
        <v>0</v>
      </c>
      <c r="F20" s="4" t="n">
        <f aca="false">D20+E20</f>
        <v>11</v>
      </c>
    </row>
    <row r="21" customFormat="false" ht="15" hidden="false" customHeight="false" outlineLevel="0" collapsed="false">
      <c r="A21" s="2" t="s">
        <v>6</v>
      </c>
      <c r="B21" s="2" t="s">
        <v>45</v>
      </c>
      <c r="C21" s="2" t="s">
        <v>46</v>
      </c>
      <c r="D21" s="3" t="n">
        <v>2</v>
      </c>
      <c r="E21" s="3" t="n">
        <v>4</v>
      </c>
      <c r="F21" s="4" t="n">
        <f aca="false">D21+E21</f>
        <v>6</v>
      </c>
    </row>
    <row r="22" customFormat="false" ht="15" hidden="false" customHeight="false" outlineLevel="0" collapsed="false">
      <c r="A22" s="2" t="s">
        <v>6</v>
      </c>
      <c r="B22" s="2" t="s">
        <v>47</v>
      </c>
      <c r="C22" s="2" t="s">
        <v>48</v>
      </c>
      <c r="D22" s="3" t="n">
        <v>7</v>
      </c>
      <c r="E22" s="3" t="n">
        <v>0</v>
      </c>
      <c r="F22" s="4" t="n">
        <f aca="false">D22+E22</f>
        <v>7</v>
      </c>
    </row>
    <row r="23" customFormat="false" ht="15" hidden="false" customHeight="false" outlineLevel="0" collapsed="false">
      <c r="A23" s="2" t="s">
        <v>6</v>
      </c>
      <c r="B23" s="2" t="s">
        <v>49</v>
      </c>
      <c r="C23" s="2" t="s">
        <v>50</v>
      </c>
      <c r="D23" s="3" t="n">
        <v>1</v>
      </c>
      <c r="E23" s="3" t="n">
        <v>4</v>
      </c>
      <c r="F23" s="4" t="n">
        <f aca="false">D23+E23</f>
        <v>5</v>
      </c>
    </row>
    <row r="24" customFormat="false" ht="15" hidden="false" customHeight="false" outlineLevel="0" collapsed="false">
      <c r="A24" s="2" t="s">
        <v>6</v>
      </c>
      <c r="B24" s="2" t="s">
        <v>51</v>
      </c>
      <c r="C24" s="2" t="s">
        <v>52</v>
      </c>
      <c r="D24" s="3" t="n">
        <v>7</v>
      </c>
      <c r="E24" s="3" t="n">
        <v>1</v>
      </c>
      <c r="F24" s="4" t="n">
        <f aca="false">D24+E24</f>
        <v>8</v>
      </c>
    </row>
    <row r="25" customFormat="false" ht="15" hidden="false" customHeight="false" outlineLevel="0" collapsed="false">
      <c r="A25" s="2" t="s">
        <v>53</v>
      </c>
      <c r="B25" s="2" t="s">
        <v>54</v>
      </c>
      <c r="C25" s="2" t="s">
        <v>55</v>
      </c>
      <c r="D25" s="3" t="n">
        <v>19</v>
      </c>
      <c r="E25" s="3" t="n">
        <v>6</v>
      </c>
      <c r="F25" s="4" t="n">
        <f aca="false">D25+E25</f>
        <v>25</v>
      </c>
    </row>
    <row r="26" customFormat="false" ht="15" hidden="false" customHeight="false" outlineLevel="0" collapsed="false">
      <c r="A26" s="2" t="s">
        <v>53</v>
      </c>
      <c r="B26" s="2" t="s">
        <v>56</v>
      </c>
      <c r="C26" s="2" t="s">
        <v>57</v>
      </c>
      <c r="D26" s="3" t="n">
        <v>14</v>
      </c>
      <c r="E26" s="3" t="n">
        <v>7</v>
      </c>
      <c r="F26" s="4" t="n">
        <f aca="false">D26+E26</f>
        <v>21</v>
      </c>
    </row>
    <row r="27" customFormat="false" ht="15" hidden="false" customHeight="false" outlineLevel="0" collapsed="false">
      <c r="A27" s="2" t="s">
        <v>53</v>
      </c>
      <c r="B27" s="2" t="s">
        <v>58</v>
      </c>
      <c r="C27" s="2" t="s">
        <v>59</v>
      </c>
      <c r="D27" s="3" t="n">
        <v>12</v>
      </c>
      <c r="E27" s="3" t="n">
        <v>4</v>
      </c>
      <c r="F27" s="4" t="n">
        <f aca="false">D27+E27</f>
        <v>16</v>
      </c>
    </row>
    <row r="28" customFormat="false" ht="15" hidden="false" customHeight="false" outlineLevel="0" collapsed="false">
      <c r="A28" s="2" t="s">
        <v>53</v>
      </c>
      <c r="B28" s="2" t="s">
        <v>60</v>
      </c>
      <c r="C28" s="2" t="s">
        <v>61</v>
      </c>
      <c r="D28" s="3" t="n">
        <v>6</v>
      </c>
      <c r="E28" s="3" t="n">
        <v>6</v>
      </c>
      <c r="F28" s="4" t="n">
        <f aca="false">D28+E28</f>
        <v>12</v>
      </c>
    </row>
    <row r="29" customFormat="false" ht="15" hidden="false" customHeight="false" outlineLevel="0" collapsed="false">
      <c r="A29" s="2" t="s">
        <v>53</v>
      </c>
      <c r="B29" s="2" t="s">
        <v>62</v>
      </c>
      <c r="C29" s="2" t="s">
        <v>63</v>
      </c>
      <c r="D29" s="3" t="n">
        <v>24</v>
      </c>
      <c r="E29" s="3" t="n">
        <v>8</v>
      </c>
      <c r="F29" s="4" t="n">
        <f aca="false">D29+E29</f>
        <v>32</v>
      </c>
    </row>
    <row r="30" customFormat="false" ht="15" hidden="false" customHeight="false" outlineLevel="0" collapsed="false">
      <c r="A30" s="2" t="s">
        <v>53</v>
      </c>
      <c r="B30" s="2" t="s">
        <v>64</v>
      </c>
      <c r="C30" s="2" t="s">
        <v>65</v>
      </c>
      <c r="D30" s="3" t="n">
        <v>13</v>
      </c>
      <c r="E30" s="3" t="n">
        <v>6</v>
      </c>
      <c r="F30" s="4" t="n">
        <f aca="false">D30+E30</f>
        <v>19</v>
      </c>
    </row>
    <row r="31" customFormat="false" ht="15" hidden="false" customHeight="false" outlineLevel="0" collapsed="false">
      <c r="A31" s="2" t="s">
        <v>53</v>
      </c>
      <c r="B31" s="2" t="s">
        <v>66</v>
      </c>
      <c r="C31" s="2" t="s">
        <v>67</v>
      </c>
      <c r="D31" s="3" t="n">
        <v>6</v>
      </c>
      <c r="E31" s="3" t="n">
        <v>27</v>
      </c>
      <c r="F31" s="4" t="n">
        <f aca="false">D31+E31</f>
        <v>33</v>
      </c>
    </row>
    <row r="32" customFormat="false" ht="15" hidden="false" customHeight="false" outlineLevel="0" collapsed="false">
      <c r="A32" s="2" t="s">
        <v>53</v>
      </c>
      <c r="B32" s="2" t="s">
        <v>68</v>
      </c>
      <c r="C32" s="2" t="s">
        <v>69</v>
      </c>
      <c r="D32" s="3" t="n">
        <v>36</v>
      </c>
      <c r="E32" s="3" t="n">
        <v>10</v>
      </c>
      <c r="F32" s="4" t="n">
        <f aca="false">D32+E32</f>
        <v>46</v>
      </c>
    </row>
    <row r="33" customFormat="false" ht="15" hidden="false" customHeight="false" outlineLevel="0" collapsed="false">
      <c r="A33" s="2" t="s">
        <v>53</v>
      </c>
      <c r="B33" s="2" t="s">
        <v>70</v>
      </c>
      <c r="C33" s="2" t="s">
        <v>71</v>
      </c>
      <c r="D33" s="3" t="n">
        <v>17</v>
      </c>
      <c r="E33" s="3" t="n">
        <v>13</v>
      </c>
      <c r="F33" s="4" t="n">
        <f aca="false">D33+E33</f>
        <v>30</v>
      </c>
    </row>
    <row r="34" customFormat="false" ht="15" hidden="false" customHeight="false" outlineLevel="0" collapsed="false">
      <c r="A34" s="2" t="s">
        <v>53</v>
      </c>
      <c r="B34" s="2" t="s">
        <v>72</v>
      </c>
      <c r="C34" s="2" t="s">
        <v>73</v>
      </c>
      <c r="D34" s="3" t="n">
        <v>9</v>
      </c>
      <c r="E34" s="3" t="n">
        <v>6</v>
      </c>
      <c r="F34" s="4" t="n">
        <f aca="false">D34+E34</f>
        <v>15</v>
      </c>
    </row>
    <row r="35" customFormat="false" ht="15" hidden="false" customHeight="false" outlineLevel="0" collapsed="false">
      <c r="A35" s="2" t="s">
        <v>53</v>
      </c>
      <c r="B35" s="2" t="s">
        <v>74</v>
      </c>
      <c r="C35" s="2" t="s">
        <v>75</v>
      </c>
      <c r="D35" s="3" t="n">
        <v>13</v>
      </c>
      <c r="E35" s="3" t="n">
        <v>5</v>
      </c>
      <c r="F35" s="4" t="n">
        <f aca="false">D35+E35</f>
        <v>18</v>
      </c>
    </row>
    <row r="36" customFormat="false" ht="15" hidden="false" customHeight="false" outlineLevel="0" collapsed="false">
      <c r="A36" s="2" t="s">
        <v>53</v>
      </c>
      <c r="B36" s="2" t="s">
        <v>76</v>
      </c>
      <c r="C36" s="2" t="s">
        <v>77</v>
      </c>
      <c r="D36" s="3" t="n">
        <v>16</v>
      </c>
      <c r="E36" s="3" t="n">
        <v>3</v>
      </c>
      <c r="F36" s="4" t="n">
        <f aca="false">D36+E36</f>
        <v>19</v>
      </c>
    </row>
    <row r="37" customFormat="false" ht="15" hidden="false" customHeight="false" outlineLevel="0" collapsed="false">
      <c r="A37" s="2" t="s">
        <v>53</v>
      </c>
      <c r="B37" s="2" t="s">
        <v>78</v>
      </c>
      <c r="C37" s="2" t="s">
        <v>79</v>
      </c>
      <c r="D37" s="3" t="n">
        <v>23</v>
      </c>
      <c r="E37" s="3" t="n">
        <v>3</v>
      </c>
      <c r="F37" s="4" t="n">
        <f aca="false">D37+E37</f>
        <v>26</v>
      </c>
    </row>
    <row r="38" customFormat="false" ht="15" hidden="false" customHeight="false" outlineLevel="0" collapsed="false">
      <c r="A38" s="2" t="s">
        <v>53</v>
      </c>
      <c r="B38" s="2" t="s">
        <v>80</v>
      </c>
      <c r="C38" s="2" t="s">
        <v>81</v>
      </c>
      <c r="D38" s="3" t="n">
        <v>29</v>
      </c>
      <c r="E38" s="3" t="n">
        <v>7</v>
      </c>
      <c r="F38" s="4" t="n">
        <f aca="false">D38+E38</f>
        <v>36</v>
      </c>
    </row>
    <row r="39" customFormat="false" ht="15" hidden="false" customHeight="false" outlineLevel="0" collapsed="false">
      <c r="A39" s="2" t="s">
        <v>53</v>
      </c>
      <c r="B39" s="2" t="s">
        <v>82</v>
      </c>
      <c r="C39" s="2" t="s">
        <v>83</v>
      </c>
      <c r="D39" s="3" t="n">
        <v>6</v>
      </c>
      <c r="E39" s="3" t="n">
        <v>2</v>
      </c>
      <c r="F39" s="4" t="n">
        <f aca="false">D39+E39</f>
        <v>8</v>
      </c>
    </row>
    <row r="40" customFormat="false" ht="15" hidden="false" customHeight="false" outlineLevel="0" collapsed="false">
      <c r="A40" s="2" t="s">
        <v>53</v>
      </c>
      <c r="B40" s="2" t="s">
        <v>84</v>
      </c>
      <c r="C40" s="2" t="s">
        <v>85</v>
      </c>
      <c r="D40" s="3" t="n">
        <v>9</v>
      </c>
      <c r="E40" s="3" t="n">
        <v>3</v>
      </c>
      <c r="F40" s="4" t="n">
        <f aca="false">D40+E40</f>
        <v>12</v>
      </c>
    </row>
    <row r="41" customFormat="false" ht="15" hidden="false" customHeight="false" outlineLevel="0" collapsed="false">
      <c r="A41" s="2" t="s">
        <v>53</v>
      </c>
      <c r="B41" s="2" t="s">
        <v>86</v>
      </c>
      <c r="C41" s="2" t="s">
        <v>87</v>
      </c>
      <c r="D41" s="3" t="n">
        <v>7</v>
      </c>
      <c r="E41" s="3" t="n">
        <v>5</v>
      </c>
      <c r="F41" s="4" t="n">
        <f aca="false">D41+E41</f>
        <v>12</v>
      </c>
    </row>
    <row r="42" customFormat="false" ht="15" hidden="false" customHeight="false" outlineLevel="0" collapsed="false">
      <c r="A42" s="2" t="s">
        <v>53</v>
      </c>
      <c r="B42" s="2" t="s">
        <v>88</v>
      </c>
      <c r="C42" s="2" t="s">
        <v>89</v>
      </c>
      <c r="D42" s="3" t="n">
        <v>14</v>
      </c>
      <c r="E42" s="3" t="n">
        <v>6</v>
      </c>
      <c r="F42" s="4" t="n">
        <f aca="false">D42+E42</f>
        <v>20</v>
      </c>
    </row>
    <row r="43" customFormat="false" ht="15" hidden="false" customHeight="false" outlineLevel="0" collapsed="false">
      <c r="A43" s="2" t="s">
        <v>53</v>
      </c>
      <c r="B43" s="2" t="s">
        <v>90</v>
      </c>
      <c r="C43" s="2" t="s">
        <v>91</v>
      </c>
      <c r="D43" s="3" t="n">
        <v>8</v>
      </c>
      <c r="E43" s="3" t="n">
        <v>7</v>
      </c>
      <c r="F43" s="4" t="n">
        <f aca="false">D43+E43</f>
        <v>15</v>
      </c>
    </row>
    <row r="44" customFormat="false" ht="15" hidden="false" customHeight="false" outlineLevel="0" collapsed="false">
      <c r="A44" s="2" t="s">
        <v>53</v>
      </c>
      <c r="B44" s="2" t="s">
        <v>92</v>
      </c>
      <c r="C44" s="2" t="s">
        <v>93</v>
      </c>
      <c r="D44" s="3" t="n">
        <v>13</v>
      </c>
      <c r="E44" s="3" t="n">
        <v>4</v>
      </c>
      <c r="F44" s="4" t="n">
        <f aca="false">D44+E44</f>
        <v>17</v>
      </c>
    </row>
    <row r="45" customFormat="false" ht="15" hidden="false" customHeight="false" outlineLevel="0" collapsed="false">
      <c r="A45" s="2" t="s">
        <v>53</v>
      </c>
      <c r="B45" s="2" t="s">
        <v>94</v>
      </c>
      <c r="C45" s="2" t="s">
        <v>95</v>
      </c>
      <c r="D45" s="3" t="n">
        <v>12</v>
      </c>
      <c r="E45" s="3" t="n">
        <v>4</v>
      </c>
      <c r="F45" s="4" t="n">
        <f aca="false">D45+E45</f>
        <v>16</v>
      </c>
    </row>
    <row r="46" customFormat="false" ht="15" hidden="false" customHeight="false" outlineLevel="0" collapsed="false">
      <c r="A46" s="2" t="s">
        <v>53</v>
      </c>
      <c r="B46" s="2" t="s">
        <v>96</v>
      </c>
      <c r="C46" s="2" t="s">
        <v>97</v>
      </c>
      <c r="D46" s="3" t="n">
        <v>8</v>
      </c>
      <c r="E46" s="3" t="n">
        <v>9</v>
      </c>
      <c r="F46" s="4" t="n">
        <f aca="false">D46+E46</f>
        <v>17</v>
      </c>
    </row>
    <row r="47" customFormat="false" ht="15" hidden="false" customHeight="false" outlineLevel="0" collapsed="false">
      <c r="A47" s="2" t="s">
        <v>53</v>
      </c>
      <c r="B47" s="2" t="s">
        <v>98</v>
      </c>
      <c r="C47" s="2" t="s">
        <v>99</v>
      </c>
      <c r="D47" s="3" t="n">
        <v>11</v>
      </c>
      <c r="E47" s="3" t="n">
        <v>7</v>
      </c>
      <c r="F47" s="4" t="n">
        <f aca="false">D47+E47</f>
        <v>18</v>
      </c>
    </row>
    <row r="48" customFormat="false" ht="15" hidden="false" customHeight="false" outlineLevel="0" collapsed="false">
      <c r="A48" s="2" t="s">
        <v>53</v>
      </c>
      <c r="B48" s="2" t="s">
        <v>100</v>
      </c>
      <c r="C48" s="2" t="s">
        <v>101</v>
      </c>
      <c r="D48" s="3" t="n">
        <v>6</v>
      </c>
      <c r="E48" s="3" t="n">
        <v>5</v>
      </c>
      <c r="F48" s="4" t="n">
        <f aca="false">D48+E48</f>
        <v>11</v>
      </c>
    </row>
    <row r="49" customFormat="false" ht="15" hidden="false" customHeight="false" outlineLevel="0" collapsed="false">
      <c r="A49" s="2" t="s">
        <v>53</v>
      </c>
      <c r="B49" s="2" t="s">
        <v>102</v>
      </c>
      <c r="C49" s="2" t="s">
        <v>103</v>
      </c>
      <c r="D49" s="3" t="n">
        <v>7</v>
      </c>
      <c r="E49" s="3" t="n">
        <v>6</v>
      </c>
      <c r="F49" s="4" t="n">
        <f aca="false">D49+E49</f>
        <v>13</v>
      </c>
    </row>
    <row r="50" customFormat="false" ht="15" hidden="false" customHeight="false" outlineLevel="0" collapsed="false">
      <c r="A50" s="2" t="s">
        <v>53</v>
      </c>
      <c r="B50" s="2" t="s">
        <v>104</v>
      </c>
      <c r="C50" s="2" t="s">
        <v>105</v>
      </c>
      <c r="D50" s="3" t="n">
        <v>28</v>
      </c>
      <c r="E50" s="3" t="n">
        <v>13</v>
      </c>
      <c r="F50" s="4" t="n">
        <f aca="false">D50+E50</f>
        <v>41</v>
      </c>
    </row>
    <row r="51" customFormat="false" ht="15" hidden="false" customHeight="false" outlineLevel="0" collapsed="false">
      <c r="A51" s="2" t="s">
        <v>53</v>
      </c>
      <c r="B51" s="2" t="s">
        <v>106</v>
      </c>
      <c r="C51" s="2" t="s">
        <v>107</v>
      </c>
      <c r="D51" s="3" t="n">
        <v>19</v>
      </c>
      <c r="E51" s="3" t="n">
        <v>0</v>
      </c>
      <c r="F51" s="4" t="n">
        <f aca="false">D51+E51</f>
        <v>19</v>
      </c>
    </row>
    <row r="52" customFormat="false" ht="15" hidden="false" customHeight="false" outlineLevel="0" collapsed="false">
      <c r="A52" s="2" t="s">
        <v>53</v>
      </c>
      <c r="B52" s="2" t="s">
        <v>108</v>
      </c>
      <c r="C52" s="2" t="s">
        <v>109</v>
      </c>
      <c r="D52" s="3" t="n">
        <v>4</v>
      </c>
      <c r="E52" s="3" t="n">
        <v>1</v>
      </c>
      <c r="F52" s="4" t="n">
        <f aca="false">D52+E52</f>
        <v>5</v>
      </c>
    </row>
    <row r="53" customFormat="false" ht="15" hidden="false" customHeight="false" outlineLevel="0" collapsed="false">
      <c r="A53" s="2" t="s">
        <v>53</v>
      </c>
      <c r="B53" s="2" t="s">
        <v>110</v>
      </c>
      <c r="C53" s="2" t="s">
        <v>111</v>
      </c>
      <c r="D53" s="3" t="n">
        <v>7</v>
      </c>
      <c r="E53" s="3" t="n">
        <v>1</v>
      </c>
      <c r="F53" s="4" t="n">
        <f aca="false">D53+E53</f>
        <v>8</v>
      </c>
    </row>
    <row r="54" customFormat="false" ht="15" hidden="false" customHeight="false" outlineLevel="0" collapsed="false">
      <c r="A54" s="2" t="s">
        <v>53</v>
      </c>
      <c r="B54" s="2" t="s">
        <v>112</v>
      </c>
      <c r="C54" s="2" t="s">
        <v>113</v>
      </c>
      <c r="D54" s="3" t="n">
        <v>6</v>
      </c>
      <c r="E54" s="3" t="n">
        <v>2</v>
      </c>
      <c r="F54" s="4" t="n">
        <f aca="false">D54+E54</f>
        <v>8</v>
      </c>
    </row>
    <row r="55" customFormat="false" ht="15" hidden="false" customHeight="false" outlineLevel="0" collapsed="false">
      <c r="A55" s="2" t="s">
        <v>53</v>
      </c>
      <c r="B55" s="2" t="s">
        <v>114</v>
      </c>
      <c r="C55" s="2" t="s">
        <v>115</v>
      </c>
      <c r="D55" s="3" t="n">
        <v>9</v>
      </c>
      <c r="E55" s="3" t="n">
        <v>0</v>
      </c>
      <c r="F55" s="4" t="n">
        <f aca="false">D55+E55</f>
        <v>9</v>
      </c>
    </row>
    <row r="56" customFormat="false" ht="15" hidden="false" customHeight="false" outlineLevel="0" collapsed="false">
      <c r="A56" s="2" t="s">
        <v>53</v>
      </c>
      <c r="B56" s="2" t="s">
        <v>116</v>
      </c>
      <c r="C56" s="2" t="s">
        <v>117</v>
      </c>
      <c r="D56" s="3" t="n">
        <v>8</v>
      </c>
      <c r="E56" s="3" t="n">
        <v>2</v>
      </c>
      <c r="F56" s="4" t="n">
        <f aca="false">D56+E56</f>
        <v>10</v>
      </c>
    </row>
    <row r="57" customFormat="false" ht="15" hidden="false" customHeight="false" outlineLevel="0" collapsed="false">
      <c r="A57" s="2" t="s">
        <v>53</v>
      </c>
      <c r="B57" s="2" t="s">
        <v>118</v>
      </c>
      <c r="C57" s="2" t="s">
        <v>119</v>
      </c>
      <c r="D57" s="3" t="n">
        <v>2</v>
      </c>
      <c r="E57" s="3" t="n">
        <v>6</v>
      </c>
      <c r="F57" s="4" t="n">
        <f aca="false">D57+E57</f>
        <v>8</v>
      </c>
    </row>
    <row r="58" customFormat="false" ht="15" hidden="false" customHeight="false" outlineLevel="0" collapsed="false">
      <c r="A58" s="2" t="s">
        <v>120</v>
      </c>
      <c r="B58" s="2" t="s">
        <v>121</v>
      </c>
      <c r="C58" s="2" t="s">
        <v>122</v>
      </c>
      <c r="D58" s="3" t="n">
        <v>7</v>
      </c>
      <c r="E58" s="3" t="n">
        <v>14</v>
      </c>
      <c r="F58" s="4" t="n">
        <f aca="false">D58+E58</f>
        <v>21</v>
      </c>
    </row>
    <row r="59" customFormat="false" ht="15" hidden="false" customHeight="false" outlineLevel="0" collapsed="false">
      <c r="A59" s="2" t="s">
        <v>120</v>
      </c>
      <c r="B59" s="2" t="s">
        <v>123</v>
      </c>
      <c r="C59" s="2" t="s">
        <v>124</v>
      </c>
      <c r="D59" s="3" t="n">
        <v>8</v>
      </c>
      <c r="E59" s="3" t="n">
        <v>11</v>
      </c>
      <c r="F59" s="4" t="n">
        <f aca="false">D59+E59</f>
        <v>19</v>
      </c>
    </row>
    <row r="60" customFormat="false" ht="15" hidden="false" customHeight="false" outlineLevel="0" collapsed="false">
      <c r="A60" s="2" t="s">
        <v>120</v>
      </c>
      <c r="B60" s="2" t="s">
        <v>125</v>
      </c>
      <c r="C60" s="2" t="s">
        <v>126</v>
      </c>
      <c r="D60" s="3" t="n">
        <v>3</v>
      </c>
      <c r="E60" s="3" t="n">
        <v>10</v>
      </c>
      <c r="F60" s="4" t="n">
        <f aca="false">D60+E60</f>
        <v>13</v>
      </c>
    </row>
    <row r="61" customFormat="false" ht="15" hidden="false" customHeight="false" outlineLevel="0" collapsed="false">
      <c r="A61" s="2" t="s">
        <v>120</v>
      </c>
      <c r="B61" s="2" t="s">
        <v>127</v>
      </c>
      <c r="C61" s="2" t="s">
        <v>128</v>
      </c>
      <c r="D61" s="3" t="n">
        <v>15</v>
      </c>
      <c r="E61" s="3" t="n">
        <v>8</v>
      </c>
      <c r="F61" s="4" t="n">
        <f aca="false">D61+E61</f>
        <v>23</v>
      </c>
    </row>
    <row r="62" customFormat="false" ht="15" hidden="false" customHeight="false" outlineLevel="0" collapsed="false">
      <c r="A62" s="2" t="s">
        <v>120</v>
      </c>
      <c r="B62" s="2" t="s">
        <v>129</v>
      </c>
      <c r="C62" s="2" t="s">
        <v>130</v>
      </c>
      <c r="D62" s="3" t="n">
        <v>15</v>
      </c>
      <c r="E62" s="3" t="n">
        <v>10</v>
      </c>
      <c r="F62" s="4" t="n">
        <f aca="false">D62+E62</f>
        <v>25</v>
      </c>
    </row>
    <row r="63" customFormat="false" ht="15" hidden="false" customHeight="false" outlineLevel="0" collapsed="false">
      <c r="A63" s="2" t="s">
        <v>120</v>
      </c>
      <c r="B63" s="2" t="s">
        <v>131</v>
      </c>
      <c r="C63" s="2" t="s">
        <v>132</v>
      </c>
      <c r="D63" s="3" t="n">
        <v>14</v>
      </c>
      <c r="E63" s="3" t="n">
        <v>9</v>
      </c>
      <c r="F63" s="4" t="n">
        <f aca="false">D63+E63</f>
        <v>23</v>
      </c>
    </row>
    <row r="64" customFormat="false" ht="15" hidden="false" customHeight="false" outlineLevel="0" collapsed="false">
      <c r="A64" s="2" t="s">
        <v>120</v>
      </c>
      <c r="B64" s="2" t="s">
        <v>133</v>
      </c>
      <c r="C64" s="2" t="s">
        <v>134</v>
      </c>
      <c r="D64" s="3" t="n">
        <v>17</v>
      </c>
      <c r="E64" s="3" t="n">
        <v>5</v>
      </c>
      <c r="F64" s="4" t="n">
        <f aca="false">D64+E64</f>
        <v>22</v>
      </c>
    </row>
    <row r="65" customFormat="false" ht="15" hidden="false" customHeight="false" outlineLevel="0" collapsed="false">
      <c r="A65" s="2" t="s">
        <v>120</v>
      </c>
      <c r="B65" s="2" t="s">
        <v>135</v>
      </c>
      <c r="C65" s="2" t="s">
        <v>136</v>
      </c>
      <c r="D65" s="3" t="n">
        <v>9</v>
      </c>
      <c r="E65" s="3" t="n">
        <v>7</v>
      </c>
      <c r="F65" s="4" t="n">
        <f aca="false">D65+E65</f>
        <v>16</v>
      </c>
    </row>
    <row r="66" customFormat="false" ht="15" hidden="false" customHeight="false" outlineLevel="0" collapsed="false">
      <c r="A66" s="2" t="s">
        <v>120</v>
      </c>
      <c r="B66" s="2" t="s">
        <v>137</v>
      </c>
      <c r="C66" s="2" t="s">
        <v>138</v>
      </c>
      <c r="D66" s="3" t="n">
        <v>4</v>
      </c>
      <c r="E66" s="3" t="n">
        <v>11</v>
      </c>
      <c r="F66" s="4" t="n">
        <f aca="false">D66+E66</f>
        <v>15</v>
      </c>
    </row>
    <row r="67" customFormat="false" ht="15" hidden="false" customHeight="false" outlineLevel="0" collapsed="false">
      <c r="A67" s="2" t="s">
        <v>120</v>
      </c>
      <c r="B67" s="2" t="s">
        <v>139</v>
      </c>
      <c r="C67" s="2" t="s">
        <v>140</v>
      </c>
      <c r="D67" s="3" t="n">
        <v>9</v>
      </c>
      <c r="E67" s="3" t="n">
        <v>6</v>
      </c>
      <c r="F67" s="4" t="n">
        <f aca="false">D67+E67</f>
        <v>15</v>
      </c>
    </row>
    <row r="68" customFormat="false" ht="15" hidden="false" customHeight="false" outlineLevel="0" collapsed="false">
      <c r="A68" s="2" t="s">
        <v>120</v>
      </c>
      <c r="B68" s="2" t="s">
        <v>141</v>
      </c>
      <c r="C68" s="2" t="s">
        <v>142</v>
      </c>
      <c r="D68" s="3" t="n">
        <v>0</v>
      </c>
      <c r="E68" s="3" t="n">
        <v>8</v>
      </c>
      <c r="F68" s="4" t="n">
        <f aca="false">D68+E68</f>
        <v>8</v>
      </c>
    </row>
    <row r="69" customFormat="false" ht="15" hidden="false" customHeight="false" outlineLevel="0" collapsed="false">
      <c r="A69" s="2" t="s">
        <v>120</v>
      </c>
      <c r="B69" s="2" t="s">
        <v>143</v>
      </c>
      <c r="C69" s="2" t="s">
        <v>144</v>
      </c>
      <c r="D69" s="3" t="n">
        <v>7</v>
      </c>
      <c r="E69" s="3" t="n">
        <v>13</v>
      </c>
      <c r="F69" s="4" t="n">
        <f aca="false">D69+E69</f>
        <v>20</v>
      </c>
    </row>
    <row r="70" customFormat="false" ht="15" hidden="false" customHeight="false" outlineLevel="0" collapsed="false">
      <c r="A70" s="2" t="s">
        <v>120</v>
      </c>
      <c r="B70" s="2" t="s">
        <v>145</v>
      </c>
      <c r="C70" s="2" t="s">
        <v>146</v>
      </c>
      <c r="D70" s="3" t="n">
        <v>24</v>
      </c>
      <c r="E70" s="3" t="n">
        <v>0</v>
      </c>
      <c r="F70" s="4" t="n">
        <f aca="false">D70+E70</f>
        <v>24</v>
      </c>
    </row>
    <row r="71" customFormat="false" ht="15" hidden="false" customHeight="false" outlineLevel="0" collapsed="false">
      <c r="A71" s="2" t="s">
        <v>120</v>
      </c>
      <c r="B71" s="2" t="s">
        <v>147</v>
      </c>
      <c r="C71" s="2" t="s">
        <v>148</v>
      </c>
      <c r="D71" s="3" t="n">
        <v>3</v>
      </c>
      <c r="E71" s="3" t="n">
        <v>1</v>
      </c>
      <c r="F71" s="4" t="n">
        <f aca="false">D71+E71</f>
        <v>4</v>
      </c>
    </row>
    <row r="72" customFormat="false" ht="15" hidden="false" customHeight="false" outlineLevel="0" collapsed="false">
      <c r="A72" s="2" t="s">
        <v>120</v>
      </c>
      <c r="B72" s="2" t="s">
        <v>149</v>
      </c>
      <c r="C72" s="2" t="s">
        <v>150</v>
      </c>
      <c r="D72" s="3" t="n">
        <v>4</v>
      </c>
      <c r="E72" s="3" t="n">
        <v>2</v>
      </c>
      <c r="F72" s="4" t="n">
        <f aca="false">D72+E72</f>
        <v>6</v>
      </c>
    </row>
    <row r="73" customFormat="false" ht="15" hidden="false" customHeight="false" outlineLevel="0" collapsed="false">
      <c r="A73" s="2" t="s">
        <v>120</v>
      </c>
      <c r="B73" s="2" t="s">
        <v>151</v>
      </c>
      <c r="C73" s="2" t="s">
        <v>152</v>
      </c>
      <c r="D73" s="3" t="n">
        <v>4</v>
      </c>
      <c r="E73" s="3" t="n">
        <v>0</v>
      </c>
      <c r="F73" s="4" t="n">
        <f aca="false">D73+E73</f>
        <v>4</v>
      </c>
    </row>
    <row r="74" customFormat="false" ht="15" hidden="false" customHeight="false" outlineLevel="0" collapsed="false">
      <c r="A74" s="2" t="s">
        <v>120</v>
      </c>
      <c r="B74" s="2" t="s">
        <v>153</v>
      </c>
      <c r="C74" s="2" t="s">
        <v>154</v>
      </c>
      <c r="D74" s="3" t="n">
        <v>7</v>
      </c>
      <c r="E74" s="3" t="n">
        <v>0</v>
      </c>
      <c r="F74" s="4" t="n">
        <f aca="false">D74+E74</f>
        <v>7</v>
      </c>
    </row>
    <row r="75" customFormat="false" ht="15" hidden="false" customHeight="false" outlineLevel="0" collapsed="false">
      <c r="A75" s="2" t="s">
        <v>120</v>
      </c>
      <c r="B75" s="2" t="s">
        <v>155</v>
      </c>
      <c r="C75" s="2" t="s">
        <v>156</v>
      </c>
      <c r="D75" s="3" t="n">
        <v>8</v>
      </c>
      <c r="E75" s="3" t="n">
        <v>0</v>
      </c>
      <c r="F75" s="4" t="n">
        <f aca="false">D75+E75</f>
        <v>8</v>
      </c>
    </row>
    <row r="76" customFormat="false" ht="15" hidden="false" customHeight="false" outlineLevel="0" collapsed="false">
      <c r="A76" s="2" t="s">
        <v>120</v>
      </c>
      <c r="B76" s="2" t="s">
        <v>157</v>
      </c>
      <c r="C76" s="2" t="s">
        <v>158</v>
      </c>
      <c r="D76" s="3" t="n">
        <v>7</v>
      </c>
      <c r="E76" s="3" t="n">
        <v>0</v>
      </c>
      <c r="F76" s="4" t="n">
        <f aca="false">D76+E76</f>
        <v>7</v>
      </c>
    </row>
    <row r="77" customFormat="false" ht="15" hidden="false" customHeight="false" outlineLevel="0" collapsed="false">
      <c r="A77" s="2" t="s">
        <v>159</v>
      </c>
      <c r="B77" s="2" t="s">
        <v>160</v>
      </c>
      <c r="C77" s="2" t="s">
        <v>161</v>
      </c>
      <c r="D77" s="3" t="n">
        <v>23</v>
      </c>
      <c r="E77" s="3" t="n">
        <v>8</v>
      </c>
      <c r="F77" s="4" t="n">
        <f aca="false">D77+E77</f>
        <v>31</v>
      </c>
    </row>
    <row r="78" customFormat="false" ht="15" hidden="false" customHeight="false" outlineLevel="0" collapsed="false">
      <c r="A78" s="2" t="s">
        <v>159</v>
      </c>
      <c r="B78" s="2" t="s">
        <v>162</v>
      </c>
      <c r="C78" s="2" t="s">
        <v>163</v>
      </c>
      <c r="D78" s="3" t="n">
        <v>9</v>
      </c>
      <c r="E78" s="3" t="n">
        <v>11</v>
      </c>
      <c r="F78" s="4" t="n">
        <f aca="false">D78+E78</f>
        <v>20</v>
      </c>
    </row>
    <row r="79" customFormat="false" ht="15" hidden="false" customHeight="false" outlineLevel="0" collapsed="false">
      <c r="A79" s="2" t="s">
        <v>159</v>
      </c>
      <c r="B79" s="2" t="s">
        <v>164</v>
      </c>
      <c r="C79" s="2" t="s">
        <v>165</v>
      </c>
      <c r="D79" s="3" t="n">
        <v>12</v>
      </c>
      <c r="E79" s="3" t="n">
        <v>7</v>
      </c>
      <c r="F79" s="4" t="n">
        <f aca="false">D79+E79</f>
        <v>19</v>
      </c>
    </row>
    <row r="80" customFormat="false" ht="15" hidden="false" customHeight="false" outlineLevel="0" collapsed="false">
      <c r="A80" s="2" t="s">
        <v>159</v>
      </c>
      <c r="B80" s="2" t="s">
        <v>166</v>
      </c>
      <c r="C80" s="2" t="s">
        <v>167</v>
      </c>
      <c r="D80" s="3" t="n">
        <v>5</v>
      </c>
      <c r="E80" s="3" t="n">
        <v>25</v>
      </c>
      <c r="F80" s="4" t="n">
        <f aca="false">D80+E80</f>
        <v>30</v>
      </c>
    </row>
    <row r="81" customFormat="false" ht="15" hidden="false" customHeight="false" outlineLevel="0" collapsed="false">
      <c r="A81" s="2" t="s">
        <v>159</v>
      </c>
      <c r="B81" s="2" t="s">
        <v>168</v>
      </c>
      <c r="C81" s="2" t="s">
        <v>169</v>
      </c>
      <c r="D81" s="3" t="n">
        <v>6</v>
      </c>
      <c r="E81" s="3" t="n">
        <v>8</v>
      </c>
      <c r="F81" s="4" t="n">
        <f aca="false">D81+E81</f>
        <v>14</v>
      </c>
    </row>
    <row r="82" customFormat="false" ht="15" hidden="false" customHeight="false" outlineLevel="0" collapsed="false">
      <c r="A82" s="2" t="s">
        <v>159</v>
      </c>
      <c r="B82" s="2" t="s">
        <v>170</v>
      </c>
      <c r="C82" s="2" t="s">
        <v>171</v>
      </c>
      <c r="D82" s="3" t="n">
        <v>14</v>
      </c>
      <c r="E82" s="3" t="n">
        <v>9</v>
      </c>
      <c r="F82" s="4" t="n">
        <f aca="false">D82+E82</f>
        <v>23</v>
      </c>
    </row>
    <row r="83" customFormat="false" ht="15" hidden="false" customHeight="false" outlineLevel="0" collapsed="false">
      <c r="A83" s="2" t="s">
        <v>159</v>
      </c>
      <c r="B83" s="2" t="s">
        <v>172</v>
      </c>
      <c r="C83" s="2" t="s">
        <v>173</v>
      </c>
      <c r="D83" s="3" t="n">
        <v>10</v>
      </c>
      <c r="E83" s="3" t="n">
        <v>10</v>
      </c>
      <c r="F83" s="4" t="n">
        <f aca="false">D83+E83</f>
        <v>20</v>
      </c>
    </row>
    <row r="84" customFormat="false" ht="15" hidden="false" customHeight="false" outlineLevel="0" collapsed="false">
      <c r="A84" s="2" t="s">
        <v>159</v>
      </c>
      <c r="B84" s="2" t="s">
        <v>174</v>
      </c>
      <c r="C84" s="2" t="s">
        <v>175</v>
      </c>
      <c r="D84" s="3" t="n">
        <v>7</v>
      </c>
      <c r="E84" s="3" t="n">
        <v>8</v>
      </c>
      <c r="F84" s="4" t="n">
        <f aca="false">D84+E84</f>
        <v>15</v>
      </c>
    </row>
    <row r="85" customFormat="false" ht="15" hidden="false" customHeight="false" outlineLevel="0" collapsed="false">
      <c r="A85" s="2" t="s">
        <v>159</v>
      </c>
      <c r="B85" s="2" t="s">
        <v>176</v>
      </c>
      <c r="C85" s="2" t="s">
        <v>177</v>
      </c>
      <c r="D85" s="3" t="n">
        <v>11</v>
      </c>
      <c r="E85" s="3" t="n">
        <v>14</v>
      </c>
      <c r="F85" s="4" t="n">
        <f aca="false">D85+E85</f>
        <v>25</v>
      </c>
    </row>
    <row r="86" customFormat="false" ht="15" hidden="false" customHeight="false" outlineLevel="0" collapsed="false">
      <c r="A86" s="2" t="s">
        <v>159</v>
      </c>
      <c r="B86" s="2" t="s">
        <v>178</v>
      </c>
      <c r="C86" s="2" t="s">
        <v>179</v>
      </c>
      <c r="D86" s="3" t="n">
        <v>3</v>
      </c>
      <c r="E86" s="3" t="n">
        <v>7</v>
      </c>
      <c r="F86" s="4" t="n">
        <f aca="false">D86+E86</f>
        <v>10</v>
      </c>
    </row>
    <row r="87" customFormat="false" ht="15" hidden="false" customHeight="false" outlineLevel="0" collapsed="false">
      <c r="A87" s="2" t="s">
        <v>159</v>
      </c>
      <c r="B87" s="2" t="s">
        <v>180</v>
      </c>
      <c r="C87" s="2" t="s">
        <v>181</v>
      </c>
      <c r="D87" s="3" t="n">
        <v>15</v>
      </c>
      <c r="E87" s="3" t="n">
        <v>6</v>
      </c>
      <c r="F87" s="4" t="n">
        <f aca="false">D87+E87</f>
        <v>21</v>
      </c>
    </row>
    <row r="88" customFormat="false" ht="15" hidden="false" customHeight="false" outlineLevel="0" collapsed="false">
      <c r="A88" s="2" t="s">
        <v>159</v>
      </c>
      <c r="B88" s="2" t="s">
        <v>182</v>
      </c>
      <c r="C88" s="2" t="s">
        <v>183</v>
      </c>
      <c r="D88" s="3" t="n">
        <v>7</v>
      </c>
      <c r="E88" s="3" t="n">
        <v>3</v>
      </c>
      <c r="F88" s="4" t="n">
        <f aca="false">D88+E88</f>
        <v>10</v>
      </c>
    </row>
    <row r="89" customFormat="false" ht="15" hidden="false" customHeight="false" outlineLevel="0" collapsed="false">
      <c r="A89" s="2" t="s">
        <v>184</v>
      </c>
      <c r="B89" s="2" t="s">
        <v>185</v>
      </c>
      <c r="C89" s="2" t="s">
        <v>186</v>
      </c>
      <c r="D89" s="3" t="n">
        <v>16</v>
      </c>
      <c r="E89" s="3" t="n">
        <v>5</v>
      </c>
      <c r="F89" s="4" t="n">
        <f aca="false">D89+E89</f>
        <v>21</v>
      </c>
    </row>
    <row r="90" customFormat="false" ht="15" hidden="false" customHeight="false" outlineLevel="0" collapsed="false">
      <c r="A90" s="2" t="s">
        <v>184</v>
      </c>
      <c r="B90" s="2" t="s">
        <v>187</v>
      </c>
      <c r="C90" s="2" t="s">
        <v>188</v>
      </c>
      <c r="D90" s="3" t="n">
        <v>12</v>
      </c>
      <c r="E90" s="3" t="n">
        <v>15</v>
      </c>
      <c r="F90" s="4" t="n">
        <f aca="false">D90+E90</f>
        <v>27</v>
      </c>
    </row>
    <row r="91" customFormat="false" ht="15" hidden="false" customHeight="false" outlineLevel="0" collapsed="false">
      <c r="A91" s="2" t="s">
        <v>184</v>
      </c>
      <c r="B91" s="2" t="s">
        <v>189</v>
      </c>
      <c r="C91" s="2" t="s">
        <v>190</v>
      </c>
      <c r="D91" s="3" t="n">
        <v>2</v>
      </c>
      <c r="E91" s="3" t="n">
        <v>14</v>
      </c>
      <c r="F91" s="4" t="n">
        <f aca="false">D91+E91</f>
        <v>16</v>
      </c>
    </row>
    <row r="92" customFormat="false" ht="15" hidden="false" customHeight="false" outlineLevel="0" collapsed="false">
      <c r="A92" s="2" t="s">
        <v>184</v>
      </c>
      <c r="B92" s="2" t="s">
        <v>191</v>
      </c>
      <c r="C92" s="2" t="s">
        <v>192</v>
      </c>
      <c r="D92" s="3" t="n">
        <v>10</v>
      </c>
      <c r="E92" s="3" t="n">
        <v>8</v>
      </c>
      <c r="F92" s="4" t="n">
        <f aca="false">D92+E92</f>
        <v>18</v>
      </c>
    </row>
    <row r="93" customFormat="false" ht="15" hidden="false" customHeight="false" outlineLevel="0" collapsed="false">
      <c r="A93" s="2" t="s">
        <v>184</v>
      </c>
      <c r="B93" s="2" t="s">
        <v>193</v>
      </c>
      <c r="C93" s="2" t="s">
        <v>194</v>
      </c>
      <c r="D93" s="3" t="n">
        <v>14</v>
      </c>
      <c r="E93" s="3" t="n">
        <v>8</v>
      </c>
      <c r="F93" s="4" t="n">
        <f aca="false">D93+E93</f>
        <v>22</v>
      </c>
    </row>
    <row r="94" customFormat="false" ht="15" hidden="false" customHeight="false" outlineLevel="0" collapsed="false">
      <c r="A94" s="2" t="s">
        <v>184</v>
      </c>
      <c r="B94" s="2" t="s">
        <v>195</v>
      </c>
      <c r="C94" s="2" t="s">
        <v>196</v>
      </c>
      <c r="D94" s="3" t="n">
        <v>7</v>
      </c>
      <c r="E94" s="3" t="n">
        <v>9</v>
      </c>
      <c r="F94" s="4" t="n">
        <f aca="false">D94+E94</f>
        <v>16</v>
      </c>
    </row>
    <row r="95" customFormat="false" ht="15" hidden="false" customHeight="false" outlineLevel="0" collapsed="false">
      <c r="A95" s="2" t="s">
        <v>184</v>
      </c>
      <c r="B95" s="2" t="s">
        <v>197</v>
      </c>
      <c r="C95" s="2" t="s">
        <v>198</v>
      </c>
      <c r="D95" s="3" t="n">
        <v>7</v>
      </c>
      <c r="E95" s="3" t="n">
        <v>10</v>
      </c>
      <c r="F95" s="4" t="n">
        <f aca="false">D95+E95</f>
        <v>17</v>
      </c>
    </row>
    <row r="96" customFormat="false" ht="15" hidden="false" customHeight="false" outlineLevel="0" collapsed="false">
      <c r="A96" s="2" t="s">
        <v>184</v>
      </c>
      <c r="B96" s="2" t="s">
        <v>199</v>
      </c>
      <c r="C96" s="2" t="s">
        <v>200</v>
      </c>
      <c r="D96" s="3" t="n">
        <v>12</v>
      </c>
      <c r="E96" s="3" t="n">
        <v>7</v>
      </c>
      <c r="F96" s="4" t="n">
        <f aca="false">D96+E96</f>
        <v>19</v>
      </c>
    </row>
    <row r="97" customFormat="false" ht="15" hidden="false" customHeight="false" outlineLevel="0" collapsed="false">
      <c r="A97" s="2" t="s">
        <v>184</v>
      </c>
      <c r="B97" s="2" t="s">
        <v>201</v>
      </c>
      <c r="C97" s="2" t="s">
        <v>202</v>
      </c>
      <c r="D97" s="3" t="n">
        <v>9</v>
      </c>
      <c r="E97" s="3" t="n">
        <v>11</v>
      </c>
      <c r="F97" s="4" t="n">
        <f aca="false">D97+E97</f>
        <v>20</v>
      </c>
    </row>
    <row r="98" customFormat="false" ht="15" hidden="false" customHeight="false" outlineLevel="0" collapsed="false">
      <c r="A98" s="2" t="s">
        <v>184</v>
      </c>
      <c r="B98" s="2" t="s">
        <v>203</v>
      </c>
      <c r="C98" s="2" t="s">
        <v>204</v>
      </c>
      <c r="D98" s="3" t="n">
        <v>16</v>
      </c>
      <c r="E98" s="3" t="n">
        <v>4</v>
      </c>
      <c r="F98" s="4" t="n">
        <f aca="false">D98+E98</f>
        <v>20</v>
      </c>
    </row>
    <row r="99" customFormat="false" ht="15" hidden="false" customHeight="false" outlineLevel="0" collapsed="false">
      <c r="A99" s="2" t="s">
        <v>184</v>
      </c>
      <c r="B99" s="2" t="s">
        <v>205</v>
      </c>
      <c r="C99" s="2" t="s">
        <v>206</v>
      </c>
      <c r="D99" s="3" t="n">
        <v>6</v>
      </c>
      <c r="E99" s="3" t="n">
        <v>5</v>
      </c>
      <c r="F99" s="4" t="n">
        <f aca="false">D99+E99</f>
        <v>11</v>
      </c>
    </row>
    <row r="100" customFormat="false" ht="15" hidden="false" customHeight="false" outlineLevel="0" collapsed="false">
      <c r="A100" s="2" t="s">
        <v>207</v>
      </c>
      <c r="B100" s="2" t="s">
        <v>208</v>
      </c>
      <c r="C100" s="2" t="s">
        <v>209</v>
      </c>
      <c r="D100" s="3" t="n">
        <v>12</v>
      </c>
      <c r="E100" s="3" t="n">
        <v>6</v>
      </c>
      <c r="F100" s="4" t="n">
        <f aca="false">D100+E100</f>
        <v>18</v>
      </c>
    </row>
    <row r="101" customFormat="false" ht="15" hidden="false" customHeight="false" outlineLevel="0" collapsed="false">
      <c r="A101" s="2" t="s">
        <v>207</v>
      </c>
      <c r="B101" s="2" t="s">
        <v>210</v>
      </c>
      <c r="C101" s="2" t="s">
        <v>211</v>
      </c>
      <c r="D101" s="3" t="n">
        <v>16</v>
      </c>
      <c r="E101" s="3" t="n">
        <v>17</v>
      </c>
      <c r="F101" s="4" t="n">
        <f aca="false">D101+E101</f>
        <v>33</v>
      </c>
    </row>
    <row r="102" customFormat="false" ht="15" hidden="false" customHeight="false" outlineLevel="0" collapsed="false">
      <c r="A102" s="2" t="s">
        <v>207</v>
      </c>
      <c r="B102" s="2" t="s">
        <v>212</v>
      </c>
      <c r="C102" s="2" t="s">
        <v>213</v>
      </c>
      <c r="D102" s="3" t="n">
        <v>15</v>
      </c>
      <c r="E102" s="3" t="n">
        <v>7</v>
      </c>
      <c r="F102" s="4" t="n">
        <f aca="false">D102+E102</f>
        <v>22</v>
      </c>
    </row>
    <row r="103" customFormat="false" ht="15" hidden="false" customHeight="false" outlineLevel="0" collapsed="false">
      <c r="A103" s="2" t="s">
        <v>207</v>
      </c>
      <c r="B103" s="2" t="s">
        <v>214</v>
      </c>
      <c r="C103" s="2" t="s">
        <v>215</v>
      </c>
      <c r="D103" s="3" t="n">
        <v>22</v>
      </c>
      <c r="E103" s="3" t="n">
        <v>11</v>
      </c>
      <c r="F103" s="4" t="n">
        <f aca="false">D103+E103</f>
        <v>33</v>
      </c>
    </row>
    <row r="104" customFormat="false" ht="15" hidden="false" customHeight="false" outlineLevel="0" collapsed="false">
      <c r="A104" s="2" t="s">
        <v>207</v>
      </c>
      <c r="B104" s="2" t="s">
        <v>216</v>
      </c>
      <c r="C104" s="2" t="s">
        <v>217</v>
      </c>
      <c r="D104" s="3" t="n">
        <v>6</v>
      </c>
      <c r="E104" s="3" t="n">
        <v>13</v>
      </c>
      <c r="F104" s="4" t="n">
        <f aca="false">D104+E104</f>
        <v>19</v>
      </c>
    </row>
    <row r="105" customFormat="false" ht="15" hidden="false" customHeight="false" outlineLevel="0" collapsed="false">
      <c r="A105" s="2" t="s">
        <v>207</v>
      </c>
      <c r="B105" s="2" t="s">
        <v>218</v>
      </c>
      <c r="C105" s="2" t="s">
        <v>219</v>
      </c>
      <c r="D105" s="3" t="n">
        <v>23</v>
      </c>
      <c r="E105" s="3" t="n">
        <v>6</v>
      </c>
      <c r="F105" s="4" t="n">
        <f aca="false">D105+E105</f>
        <v>29</v>
      </c>
    </row>
    <row r="106" customFormat="false" ht="15" hidden="false" customHeight="false" outlineLevel="0" collapsed="false">
      <c r="A106" s="2" t="s">
        <v>207</v>
      </c>
      <c r="B106" s="2" t="s">
        <v>220</v>
      </c>
      <c r="C106" s="2" t="s">
        <v>221</v>
      </c>
      <c r="D106" s="3" t="n">
        <v>22</v>
      </c>
      <c r="E106" s="3" t="n">
        <v>11</v>
      </c>
      <c r="F106" s="4" t="n">
        <f aca="false">D106+E106</f>
        <v>33</v>
      </c>
    </row>
    <row r="107" customFormat="false" ht="15" hidden="false" customHeight="false" outlineLevel="0" collapsed="false">
      <c r="A107" s="2" t="s">
        <v>207</v>
      </c>
      <c r="B107" s="2" t="s">
        <v>222</v>
      </c>
      <c r="C107" s="2" t="s">
        <v>223</v>
      </c>
      <c r="D107" s="3" t="n">
        <v>11</v>
      </c>
      <c r="E107" s="3" t="n">
        <v>11</v>
      </c>
      <c r="F107" s="4" t="n">
        <f aca="false">D107+E107</f>
        <v>22</v>
      </c>
    </row>
    <row r="108" customFormat="false" ht="15" hidden="false" customHeight="false" outlineLevel="0" collapsed="false">
      <c r="A108" s="2" t="s">
        <v>207</v>
      </c>
      <c r="B108" s="2" t="s">
        <v>224</v>
      </c>
      <c r="C108" s="2" t="s">
        <v>225</v>
      </c>
      <c r="D108" s="3" t="n">
        <v>8</v>
      </c>
      <c r="E108" s="3" t="n">
        <v>11</v>
      </c>
      <c r="F108" s="4" t="n">
        <f aca="false">D108+E108</f>
        <v>19</v>
      </c>
    </row>
    <row r="109" customFormat="false" ht="15" hidden="false" customHeight="false" outlineLevel="0" collapsed="false">
      <c r="A109" s="2" t="s">
        <v>207</v>
      </c>
      <c r="B109" s="2" t="s">
        <v>226</v>
      </c>
      <c r="C109" s="2" t="s">
        <v>227</v>
      </c>
      <c r="D109" s="3" t="n">
        <v>17</v>
      </c>
      <c r="E109" s="3" t="n">
        <v>8</v>
      </c>
      <c r="F109" s="4" t="n">
        <f aca="false">D109+E109</f>
        <v>25</v>
      </c>
    </row>
    <row r="110" customFormat="false" ht="15" hidden="false" customHeight="false" outlineLevel="0" collapsed="false">
      <c r="A110" s="2" t="s">
        <v>207</v>
      </c>
      <c r="B110" s="2" t="s">
        <v>228</v>
      </c>
      <c r="C110" s="2" t="s">
        <v>229</v>
      </c>
      <c r="D110" s="3" t="n">
        <v>6</v>
      </c>
      <c r="E110" s="3" t="n">
        <v>4</v>
      </c>
      <c r="F110" s="4" t="n">
        <f aca="false">D110+E110</f>
        <v>10</v>
      </c>
    </row>
    <row r="111" customFormat="false" ht="15" hidden="false" customHeight="false" outlineLevel="0" collapsed="false">
      <c r="A111" s="2" t="s">
        <v>207</v>
      </c>
      <c r="B111" s="2" t="s">
        <v>230</v>
      </c>
      <c r="C111" s="2" t="s">
        <v>231</v>
      </c>
      <c r="D111" s="3" t="n">
        <v>9</v>
      </c>
      <c r="E111" s="3" t="n">
        <v>0</v>
      </c>
      <c r="F111" s="4" t="n">
        <f aca="false">D111+E111</f>
        <v>9</v>
      </c>
    </row>
    <row r="112" customFormat="false" ht="15" hidden="false" customHeight="false" outlineLevel="0" collapsed="false">
      <c r="A112" s="2" t="s">
        <v>207</v>
      </c>
      <c r="B112" s="2" t="s">
        <v>232</v>
      </c>
      <c r="C112" s="2" t="s">
        <v>233</v>
      </c>
      <c r="D112" s="3" t="n">
        <v>1</v>
      </c>
      <c r="E112" s="3" t="n">
        <v>7</v>
      </c>
      <c r="F112" s="4" t="n">
        <f aca="false">D112+E112</f>
        <v>8</v>
      </c>
    </row>
    <row r="113" customFormat="false" ht="15" hidden="false" customHeight="false" outlineLevel="0" collapsed="false">
      <c r="A113" s="2" t="s">
        <v>207</v>
      </c>
      <c r="B113" s="2" t="s">
        <v>234</v>
      </c>
      <c r="C113" s="2" t="s">
        <v>235</v>
      </c>
      <c r="D113" s="3" t="n">
        <v>42</v>
      </c>
      <c r="E113" s="3" t="n">
        <v>0</v>
      </c>
      <c r="F113" s="4" t="n">
        <f aca="false">D113+E113</f>
        <v>42</v>
      </c>
    </row>
    <row r="114" customFormat="false" ht="15" hidden="false" customHeight="false" outlineLevel="0" collapsed="false">
      <c r="A114" s="2" t="s">
        <v>207</v>
      </c>
      <c r="B114" s="2" t="s">
        <v>236</v>
      </c>
      <c r="C114" s="2" t="s">
        <v>237</v>
      </c>
      <c r="D114" s="3" t="n">
        <v>4</v>
      </c>
      <c r="E114" s="3" t="n">
        <v>3</v>
      </c>
      <c r="F114" s="4" t="n">
        <f aca="false">D114+E114</f>
        <v>7</v>
      </c>
    </row>
    <row r="115" customFormat="false" ht="15" hidden="false" customHeight="false" outlineLevel="0" collapsed="false">
      <c r="A115" s="2" t="s">
        <v>207</v>
      </c>
      <c r="B115" s="2" t="s">
        <v>238</v>
      </c>
      <c r="C115" s="2" t="s">
        <v>239</v>
      </c>
      <c r="D115" s="3" t="n">
        <v>8</v>
      </c>
      <c r="E115" s="3" t="n">
        <v>2</v>
      </c>
      <c r="F115" s="4" t="n">
        <f aca="false">D115+E115</f>
        <v>10</v>
      </c>
    </row>
    <row r="116" customFormat="false" ht="15" hidden="false" customHeight="false" outlineLevel="0" collapsed="false">
      <c r="A116" s="2" t="s">
        <v>207</v>
      </c>
      <c r="B116" s="2" t="s">
        <v>240</v>
      </c>
      <c r="C116" s="2" t="s">
        <v>241</v>
      </c>
      <c r="D116" s="3" t="n">
        <v>8</v>
      </c>
      <c r="E116" s="3" t="n">
        <v>1</v>
      </c>
      <c r="F116" s="4" t="n">
        <f aca="false">D116+E116</f>
        <v>9</v>
      </c>
    </row>
    <row r="117" customFormat="false" ht="15" hidden="false" customHeight="false" outlineLevel="0" collapsed="false">
      <c r="A117" s="2" t="s">
        <v>242</v>
      </c>
      <c r="B117" s="2" t="s">
        <v>243</v>
      </c>
      <c r="C117" s="2" t="s">
        <v>244</v>
      </c>
      <c r="D117" s="3" t="n">
        <v>10</v>
      </c>
      <c r="E117" s="3" t="n">
        <v>4</v>
      </c>
      <c r="F117" s="4" t="n">
        <f aca="false">D117+E117</f>
        <v>14</v>
      </c>
    </row>
    <row r="118" customFormat="false" ht="15" hidden="false" customHeight="false" outlineLevel="0" collapsed="false">
      <c r="A118" s="2" t="s">
        <v>242</v>
      </c>
      <c r="B118" s="2" t="s">
        <v>245</v>
      </c>
      <c r="C118" s="2" t="s">
        <v>246</v>
      </c>
      <c r="D118" s="3" t="n">
        <v>10</v>
      </c>
      <c r="E118" s="3" t="n">
        <v>11</v>
      </c>
      <c r="F118" s="4" t="n">
        <f aca="false">D118+E118</f>
        <v>21</v>
      </c>
    </row>
    <row r="119" customFormat="false" ht="15" hidden="false" customHeight="false" outlineLevel="0" collapsed="false">
      <c r="A119" s="2" t="s">
        <v>242</v>
      </c>
      <c r="B119" s="2" t="s">
        <v>247</v>
      </c>
      <c r="C119" s="2" t="s">
        <v>248</v>
      </c>
      <c r="D119" s="3" t="n">
        <v>15</v>
      </c>
      <c r="E119" s="3" t="n">
        <v>7</v>
      </c>
      <c r="F119" s="4" t="n">
        <f aca="false">D119+E119</f>
        <v>22</v>
      </c>
    </row>
    <row r="120" customFormat="false" ht="15" hidden="false" customHeight="false" outlineLevel="0" collapsed="false">
      <c r="A120" s="2" t="s">
        <v>242</v>
      </c>
      <c r="B120" s="2" t="s">
        <v>249</v>
      </c>
      <c r="C120" s="2" t="s">
        <v>250</v>
      </c>
      <c r="D120" s="3" t="n">
        <v>11</v>
      </c>
      <c r="E120" s="3" t="n">
        <v>5</v>
      </c>
      <c r="F120" s="4" t="n">
        <f aca="false">D120+E120</f>
        <v>16</v>
      </c>
    </row>
    <row r="121" customFormat="false" ht="15" hidden="false" customHeight="false" outlineLevel="0" collapsed="false">
      <c r="A121" s="2" t="s">
        <v>242</v>
      </c>
      <c r="B121" s="2" t="s">
        <v>251</v>
      </c>
      <c r="C121" s="2" t="s">
        <v>252</v>
      </c>
      <c r="D121" s="3" t="n">
        <v>18</v>
      </c>
      <c r="E121" s="3" t="n">
        <v>4</v>
      </c>
      <c r="F121" s="4" t="n">
        <f aca="false">D121+E121</f>
        <v>22</v>
      </c>
    </row>
    <row r="122" customFormat="false" ht="15" hidden="false" customHeight="false" outlineLevel="0" collapsed="false">
      <c r="A122" s="2" t="s">
        <v>242</v>
      </c>
      <c r="B122" s="2" t="s">
        <v>253</v>
      </c>
      <c r="C122" s="2" t="s">
        <v>254</v>
      </c>
      <c r="D122" s="3" t="n">
        <v>11</v>
      </c>
      <c r="E122" s="3" t="n">
        <v>6</v>
      </c>
      <c r="F122" s="4" t="n">
        <f aca="false">D122+E122</f>
        <v>17</v>
      </c>
    </row>
    <row r="123" customFormat="false" ht="15" hidden="false" customHeight="false" outlineLevel="0" collapsed="false">
      <c r="A123" s="2" t="s">
        <v>242</v>
      </c>
      <c r="B123" s="2" t="s">
        <v>255</v>
      </c>
      <c r="C123" s="2" t="s">
        <v>256</v>
      </c>
      <c r="D123" s="3" t="n">
        <v>11</v>
      </c>
      <c r="E123" s="3" t="n">
        <v>2</v>
      </c>
      <c r="F123" s="4" t="n">
        <f aca="false">D123+E123</f>
        <v>13</v>
      </c>
    </row>
    <row r="124" customFormat="false" ht="15" hidden="false" customHeight="false" outlineLevel="0" collapsed="false">
      <c r="A124" s="2" t="s">
        <v>242</v>
      </c>
      <c r="B124" s="2" t="s">
        <v>257</v>
      </c>
      <c r="C124" s="2" t="s">
        <v>258</v>
      </c>
      <c r="D124" s="3" t="n">
        <v>8</v>
      </c>
      <c r="E124" s="3" t="n">
        <v>6</v>
      </c>
      <c r="F124" s="4" t="n">
        <f aca="false">D124+E124</f>
        <v>14</v>
      </c>
    </row>
    <row r="125" customFormat="false" ht="15" hidden="false" customHeight="false" outlineLevel="0" collapsed="false">
      <c r="A125" s="2" t="s">
        <v>242</v>
      </c>
      <c r="B125" s="2" t="s">
        <v>259</v>
      </c>
      <c r="C125" s="2" t="s">
        <v>260</v>
      </c>
      <c r="D125" s="3" t="n">
        <v>16</v>
      </c>
      <c r="E125" s="3" t="n">
        <v>4</v>
      </c>
      <c r="F125" s="4" t="n">
        <f aca="false">D125+E125</f>
        <v>20</v>
      </c>
    </row>
    <row r="126" customFormat="false" ht="15" hidden="false" customHeight="false" outlineLevel="0" collapsed="false">
      <c r="A126" s="2" t="s">
        <v>242</v>
      </c>
      <c r="B126" s="2" t="s">
        <v>261</v>
      </c>
      <c r="C126" s="2" t="s">
        <v>262</v>
      </c>
      <c r="D126" s="3" t="n">
        <v>17</v>
      </c>
      <c r="E126" s="3" t="n">
        <v>3</v>
      </c>
      <c r="F126" s="4" t="n">
        <f aca="false">D126+E126</f>
        <v>20</v>
      </c>
    </row>
    <row r="127" customFormat="false" ht="15" hidden="false" customHeight="false" outlineLevel="0" collapsed="false">
      <c r="A127" s="2" t="s">
        <v>263</v>
      </c>
      <c r="B127" s="2" t="s">
        <v>264</v>
      </c>
      <c r="C127" s="2" t="s">
        <v>265</v>
      </c>
      <c r="D127" s="3" t="n">
        <v>13</v>
      </c>
      <c r="E127" s="3" t="n">
        <v>15</v>
      </c>
      <c r="F127" s="4" t="n">
        <f aca="false">D127+E127</f>
        <v>28</v>
      </c>
    </row>
    <row r="128" customFormat="false" ht="15" hidden="false" customHeight="false" outlineLevel="0" collapsed="false">
      <c r="A128" s="2" t="s">
        <v>263</v>
      </c>
      <c r="B128" s="2" t="s">
        <v>266</v>
      </c>
      <c r="C128" s="2" t="s">
        <v>267</v>
      </c>
      <c r="D128" s="3" t="n">
        <v>29</v>
      </c>
      <c r="E128" s="3" t="n">
        <v>10</v>
      </c>
      <c r="F128" s="4" t="n">
        <f aca="false">D128+E128</f>
        <v>39</v>
      </c>
    </row>
    <row r="129" customFormat="false" ht="15" hidden="false" customHeight="false" outlineLevel="0" collapsed="false">
      <c r="A129" s="2" t="s">
        <v>263</v>
      </c>
      <c r="B129" s="2" t="s">
        <v>268</v>
      </c>
      <c r="C129" s="2" t="s">
        <v>269</v>
      </c>
      <c r="D129" s="3" t="n">
        <v>19</v>
      </c>
      <c r="E129" s="3" t="n">
        <v>8</v>
      </c>
      <c r="F129" s="4" t="n">
        <f aca="false">D129+E129</f>
        <v>27</v>
      </c>
    </row>
    <row r="130" customFormat="false" ht="15" hidden="false" customHeight="false" outlineLevel="0" collapsed="false">
      <c r="A130" s="2" t="s">
        <v>263</v>
      </c>
      <c r="B130" s="2" t="s">
        <v>270</v>
      </c>
      <c r="C130" s="2" t="s">
        <v>271</v>
      </c>
      <c r="D130" s="3" t="n">
        <v>0</v>
      </c>
      <c r="E130" s="3" t="n">
        <v>15</v>
      </c>
      <c r="F130" s="4" t="n">
        <f aca="false">D130+E130</f>
        <v>15</v>
      </c>
    </row>
    <row r="131" customFormat="false" ht="15" hidden="false" customHeight="false" outlineLevel="0" collapsed="false">
      <c r="A131" s="2" t="s">
        <v>263</v>
      </c>
      <c r="B131" s="2" t="s">
        <v>272</v>
      </c>
      <c r="C131" s="2" t="s">
        <v>273</v>
      </c>
      <c r="D131" s="3" t="n">
        <v>13</v>
      </c>
      <c r="E131" s="3" t="n">
        <v>7</v>
      </c>
      <c r="F131" s="4" t="n">
        <f aca="false">D131+E131</f>
        <v>20</v>
      </c>
    </row>
    <row r="132" customFormat="false" ht="15" hidden="false" customHeight="false" outlineLevel="0" collapsed="false">
      <c r="A132" s="2" t="s">
        <v>263</v>
      </c>
      <c r="B132" s="2" t="s">
        <v>274</v>
      </c>
      <c r="C132" s="2" t="s">
        <v>275</v>
      </c>
      <c r="D132" s="3" t="n">
        <v>8</v>
      </c>
      <c r="E132" s="3" t="n">
        <v>16</v>
      </c>
      <c r="F132" s="4" t="n">
        <f aca="false">D132+E132</f>
        <v>24</v>
      </c>
    </row>
    <row r="133" customFormat="false" ht="15" hidden="false" customHeight="false" outlineLevel="0" collapsed="false">
      <c r="A133" s="2" t="s">
        <v>263</v>
      </c>
      <c r="B133" s="2" t="s">
        <v>276</v>
      </c>
      <c r="C133" s="2" t="s">
        <v>277</v>
      </c>
      <c r="D133" s="3" t="n">
        <v>19</v>
      </c>
      <c r="E133" s="3" t="n">
        <v>15</v>
      </c>
      <c r="F133" s="4" t="n">
        <f aca="false">D133+E133</f>
        <v>34</v>
      </c>
    </row>
    <row r="134" customFormat="false" ht="15" hidden="false" customHeight="false" outlineLevel="0" collapsed="false">
      <c r="A134" s="2" t="s">
        <v>263</v>
      </c>
      <c r="B134" s="2" t="s">
        <v>278</v>
      </c>
      <c r="C134" s="2" t="s">
        <v>279</v>
      </c>
      <c r="D134" s="3" t="n">
        <v>5</v>
      </c>
      <c r="E134" s="3" t="n">
        <v>15</v>
      </c>
      <c r="F134" s="4" t="n">
        <f aca="false">D134+E134</f>
        <v>20</v>
      </c>
    </row>
    <row r="135" customFormat="false" ht="15" hidden="false" customHeight="false" outlineLevel="0" collapsed="false">
      <c r="A135" s="2" t="s">
        <v>263</v>
      </c>
      <c r="B135" s="2" t="s">
        <v>280</v>
      </c>
      <c r="C135" s="2" t="s">
        <v>281</v>
      </c>
      <c r="D135" s="3" t="n">
        <v>6</v>
      </c>
      <c r="E135" s="3" t="n">
        <v>9</v>
      </c>
      <c r="F135" s="4" t="n">
        <f aca="false">D135+E135</f>
        <v>15</v>
      </c>
    </row>
    <row r="136" customFormat="false" ht="15" hidden="false" customHeight="false" outlineLevel="0" collapsed="false">
      <c r="A136" s="2" t="s">
        <v>263</v>
      </c>
      <c r="B136" s="2" t="s">
        <v>282</v>
      </c>
      <c r="C136" s="2" t="s">
        <v>283</v>
      </c>
      <c r="D136" s="3" t="n">
        <v>4</v>
      </c>
      <c r="E136" s="3" t="n">
        <v>9</v>
      </c>
      <c r="F136" s="4" t="n">
        <f aca="false">D136+E136</f>
        <v>13</v>
      </c>
    </row>
    <row r="137" customFormat="false" ht="15" hidden="false" customHeight="false" outlineLevel="0" collapsed="false">
      <c r="A137" s="2" t="s">
        <v>263</v>
      </c>
      <c r="B137" s="2" t="s">
        <v>284</v>
      </c>
      <c r="C137" s="2" t="s">
        <v>285</v>
      </c>
      <c r="D137" s="3" t="n">
        <v>6</v>
      </c>
      <c r="E137" s="3" t="n">
        <v>8</v>
      </c>
      <c r="F137" s="4" t="n">
        <f aca="false">D137+E137</f>
        <v>14</v>
      </c>
    </row>
    <row r="138" customFormat="false" ht="15" hidden="false" customHeight="false" outlineLevel="0" collapsed="false">
      <c r="A138" s="2" t="s">
        <v>263</v>
      </c>
      <c r="B138" s="2" t="s">
        <v>286</v>
      </c>
      <c r="C138" s="2" t="s">
        <v>287</v>
      </c>
      <c r="D138" s="3" t="n">
        <v>6</v>
      </c>
      <c r="E138" s="3" t="n">
        <v>10</v>
      </c>
      <c r="F138" s="4" t="n">
        <f aca="false">D138+E138</f>
        <v>16</v>
      </c>
    </row>
    <row r="139" customFormat="false" ht="15" hidden="false" customHeight="false" outlineLevel="0" collapsed="false">
      <c r="A139" s="2" t="s">
        <v>263</v>
      </c>
      <c r="B139" s="2" t="s">
        <v>288</v>
      </c>
      <c r="C139" s="2" t="s">
        <v>289</v>
      </c>
      <c r="D139" s="3" t="n">
        <v>5</v>
      </c>
      <c r="E139" s="3" t="n">
        <v>6</v>
      </c>
      <c r="F139" s="4" t="n">
        <f aca="false">D139+E139</f>
        <v>11</v>
      </c>
    </row>
    <row r="140" customFormat="false" ht="15" hidden="false" customHeight="false" outlineLevel="0" collapsed="false">
      <c r="A140" s="2" t="s">
        <v>263</v>
      </c>
      <c r="B140" s="2" t="s">
        <v>290</v>
      </c>
      <c r="C140" s="2" t="s">
        <v>291</v>
      </c>
      <c r="D140" s="3" t="n">
        <v>18</v>
      </c>
      <c r="E140" s="3" t="n">
        <v>13</v>
      </c>
      <c r="F140" s="4" t="n">
        <f aca="false">D140+E140</f>
        <v>31</v>
      </c>
    </row>
    <row r="141" customFormat="false" ht="15" hidden="false" customHeight="false" outlineLevel="0" collapsed="false">
      <c r="A141" s="2" t="s">
        <v>263</v>
      </c>
      <c r="B141" s="2" t="s">
        <v>292</v>
      </c>
      <c r="C141" s="2" t="s">
        <v>293</v>
      </c>
      <c r="D141" s="3" t="n">
        <v>10</v>
      </c>
      <c r="E141" s="3" t="n">
        <v>1</v>
      </c>
      <c r="F141" s="4" t="n">
        <f aca="false">D141+E141</f>
        <v>11</v>
      </c>
    </row>
    <row r="142" customFormat="false" ht="15" hidden="false" customHeight="false" outlineLevel="0" collapsed="false">
      <c r="A142" s="2" t="s">
        <v>294</v>
      </c>
      <c r="B142" s="2" t="s">
        <v>295</v>
      </c>
      <c r="C142" s="2" t="s">
        <v>296</v>
      </c>
      <c r="D142" s="3" t="n">
        <v>7</v>
      </c>
      <c r="E142" s="3" t="n">
        <v>5</v>
      </c>
      <c r="F142" s="4" t="n">
        <f aca="false">D142+E142</f>
        <v>12</v>
      </c>
    </row>
    <row r="143" customFormat="false" ht="15" hidden="false" customHeight="false" outlineLevel="0" collapsed="false">
      <c r="A143" s="2" t="s">
        <v>294</v>
      </c>
      <c r="B143" s="2" t="s">
        <v>297</v>
      </c>
      <c r="C143" s="2" t="s">
        <v>298</v>
      </c>
      <c r="D143" s="3" t="n">
        <v>6</v>
      </c>
      <c r="E143" s="3" t="n">
        <v>3</v>
      </c>
      <c r="F143" s="4" t="n">
        <f aca="false">D143+E143</f>
        <v>9</v>
      </c>
    </row>
    <row r="144" customFormat="false" ht="15" hidden="false" customHeight="false" outlineLevel="0" collapsed="false">
      <c r="A144" s="2" t="s">
        <v>294</v>
      </c>
      <c r="B144" s="2" t="s">
        <v>299</v>
      </c>
      <c r="C144" s="2" t="s">
        <v>300</v>
      </c>
      <c r="D144" s="3" t="n">
        <v>5</v>
      </c>
      <c r="E144" s="3" t="n">
        <v>5</v>
      </c>
      <c r="F144" s="4" t="n">
        <f aca="false">D144+E144</f>
        <v>10</v>
      </c>
    </row>
    <row r="145" customFormat="false" ht="15" hidden="false" customHeight="false" outlineLevel="0" collapsed="false">
      <c r="A145" s="2" t="s">
        <v>294</v>
      </c>
      <c r="B145" s="2" t="s">
        <v>301</v>
      </c>
      <c r="C145" s="2" t="s">
        <v>302</v>
      </c>
      <c r="D145" s="3" t="n">
        <v>7</v>
      </c>
      <c r="E145" s="3" t="n">
        <v>2</v>
      </c>
      <c r="F145" s="4" t="n">
        <f aca="false">D145+E145</f>
        <v>9</v>
      </c>
    </row>
    <row r="146" customFormat="false" ht="15" hidden="false" customHeight="false" outlineLevel="0" collapsed="false">
      <c r="A146" s="2" t="s">
        <v>294</v>
      </c>
      <c r="B146" s="2" t="s">
        <v>303</v>
      </c>
      <c r="C146" s="2" t="s">
        <v>304</v>
      </c>
      <c r="D146" s="3" t="n">
        <v>1</v>
      </c>
      <c r="E146" s="3" t="n">
        <v>7</v>
      </c>
      <c r="F146" s="4" t="n">
        <f aca="false">D146+E146</f>
        <v>8</v>
      </c>
    </row>
    <row r="147" customFormat="false" ht="15" hidden="false" customHeight="false" outlineLevel="0" collapsed="false">
      <c r="A147" s="2" t="s">
        <v>294</v>
      </c>
      <c r="B147" s="2" t="s">
        <v>305</v>
      </c>
      <c r="C147" s="2" t="s">
        <v>306</v>
      </c>
      <c r="D147" s="3" t="n">
        <v>3</v>
      </c>
      <c r="E147" s="3" t="n">
        <v>4</v>
      </c>
      <c r="F147" s="4" t="n">
        <f aca="false">D147+E147</f>
        <v>7</v>
      </c>
    </row>
    <row r="148" customFormat="false" ht="15" hidden="false" customHeight="false" outlineLevel="0" collapsed="false">
      <c r="A148" s="2" t="s">
        <v>294</v>
      </c>
      <c r="B148" s="2" t="s">
        <v>307</v>
      </c>
      <c r="C148" s="2" t="s">
        <v>308</v>
      </c>
      <c r="D148" s="3" t="n">
        <v>8</v>
      </c>
      <c r="E148" s="3" t="n">
        <v>1</v>
      </c>
      <c r="F148" s="4" t="n">
        <f aca="false">D148+E148</f>
        <v>9</v>
      </c>
    </row>
    <row r="149" customFormat="false" ht="15" hidden="false" customHeight="false" outlineLevel="0" collapsed="false">
      <c r="A149" s="2" t="s">
        <v>309</v>
      </c>
      <c r="B149" s="2" t="s">
        <v>310</v>
      </c>
      <c r="C149" s="2" t="s">
        <v>311</v>
      </c>
      <c r="D149" s="3" t="n">
        <v>11</v>
      </c>
      <c r="E149" s="3" t="n">
        <v>4</v>
      </c>
      <c r="F149" s="4" t="n">
        <f aca="false">D149+E149</f>
        <v>15</v>
      </c>
    </row>
    <row r="150" customFormat="false" ht="15" hidden="false" customHeight="false" outlineLevel="0" collapsed="false">
      <c r="A150" s="2" t="s">
        <v>309</v>
      </c>
      <c r="B150" s="2" t="s">
        <v>312</v>
      </c>
      <c r="C150" s="2" t="s">
        <v>313</v>
      </c>
      <c r="D150" s="3" t="n">
        <v>10</v>
      </c>
      <c r="E150" s="3" t="n">
        <v>3</v>
      </c>
      <c r="F150" s="4" t="n">
        <f aca="false">D150+E150</f>
        <v>13</v>
      </c>
    </row>
    <row r="151" customFormat="false" ht="15" hidden="false" customHeight="false" outlineLevel="0" collapsed="false">
      <c r="A151" s="2" t="s">
        <v>309</v>
      </c>
      <c r="B151" s="2" t="s">
        <v>314</v>
      </c>
      <c r="C151" s="2" t="s">
        <v>315</v>
      </c>
      <c r="D151" s="3" t="n">
        <v>4</v>
      </c>
      <c r="E151" s="3" t="n">
        <v>10</v>
      </c>
      <c r="F151" s="4" t="n">
        <f aca="false">D151+E151</f>
        <v>14</v>
      </c>
    </row>
    <row r="152" customFormat="false" ht="15" hidden="false" customHeight="false" outlineLevel="0" collapsed="false">
      <c r="A152" s="2" t="s">
        <v>309</v>
      </c>
      <c r="B152" s="2" t="s">
        <v>316</v>
      </c>
      <c r="C152" s="2" t="s">
        <v>317</v>
      </c>
      <c r="D152" s="3" t="n">
        <v>8</v>
      </c>
      <c r="E152" s="3" t="n">
        <v>5</v>
      </c>
      <c r="F152" s="4" t="n">
        <f aca="false">D152+E152</f>
        <v>13</v>
      </c>
    </row>
    <row r="153" customFormat="false" ht="15" hidden="false" customHeight="false" outlineLevel="0" collapsed="false">
      <c r="A153" s="2" t="s">
        <v>309</v>
      </c>
      <c r="B153" s="2" t="s">
        <v>318</v>
      </c>
      <c r="C153" s="2" t="s">
        <v>319</v>
      </c>
      <c r="D153" s="3" t="n">
        <v>2</v>
      </c>
      <c r="E153" s="3" t="n">
        <v>8</v>
      </c>
      <c r="F153" s="4" t="n">
        <f aca="false">D153+E153</f>
        <v>10</v>
      </c>
    </row>
    <row r="154" customFormat="false" ht="15" hidden="false" customHeight="false" outlineLevel="0" collapsed="false">
      <c r="A154" s="2" t="s">
        <v>309</v>
      </c>
      <c r="B154" s="2" t="s">
        <v>320</v>
      </c>
      <c r="C154" s="2" t="s">
        <v>321</v>
      </c>
      <c r="D154" s="3" t="n">
        <v>21</v>
      </c>
      <c r="E154" s="3" t="n">
        <v>0</v>
      </c>
      <c r="F154" s="4" t="n">
        <f aca="false">D154+E154</f>
        <v>21</v>
      </c>
    </row>
    <row r="155" customFormat="false" ht="15" hidden="false" customHeight="false" outlineLevel="0" collapsed="false">
      <c r="A155" s="2" t="s">
        <v>309</v>
      </c>
      <c r="B155" s="2" t="s">
        <v>322</v>
      </c>
      <c r="C155" s="2" t="s">
        <v>323</v>
      </c>
      <c r="D155" s="3" t="n">
        <v>5</v>
      </c>
      <c r="E155" s="3" t="n">
        <v>2</v>
      </c>
      <c r="F155" s="4" t="n">
        <f aca="false">D155+E155</f>
        <v>7</v>
      </c>
    </row>
  </sheetData>
  <autoFilter ref="A1:F1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0"/>
  </cols>
  <sheetData>
    <row r="1" customFormat="false" ht="31.5" hidden="false" customHeight="true" outlineLevel="0" collapsed="false">
      <c r="A1" s="1" t="s">
        <v>0</v>
      </c>
      <c r="B1" s="1" t="s">
        <v>324</v>
      </c>
      <c r="C1" s="1" t="s">
        <v>325</v>
      </c>
      <c r="D1" s="1" t="s">
        <v>326</v>
      </c>
      <c r="E1" s="1" t="s">
        <v>327</v>
      </c>
    </row>
    <row r="2" customFormat="false" ht="15" hidden="false" customHeight="false" outlineLevel="0" collapsed="false">
      <c r="A2" s="2" t="s">
        <v>6</v>
      </c>
      <c r="B2" s="4" t="n">
        <f aca="false">COUNTIF(Dataset!$A$2:$A$155,A2)</f>
        <v>23</v>
      </c>
      <c r="C2" s="4" t="n">
        <f aca="false">SUMIFS(Dataset!$F$2:$F$155,Dataset!$A$2:$A$155,A2)</f>
        <v>362</v>
      </c>
      <c r="D2" s="3" t="n">
        <v>362</v>
      </c>
      <c r="E2" s="4" t="n">
        <f aca="false">C2-D2</f>
        <v>0</v>
      </c>
    </row>
    <row r="3" customFormat="false" ht="15" hidden="false" customHeight="false" outlineLevel="0" collapsed="false">
      <c r="A3" s="2" t="s">
        <v>53</v>
      </c>
      <c r="B3" s="4" t="n">
        <f aca="false">COUNTIF(Dataset!$A$2:$A$155,A3)</f>
        <v>33</v>
      </c>
      <c r="C3" s="4" t="n">
        <f aca="false">SUMIFS(Dataset!$F$2:$F$155,Dataset!$A$2:$A$155,A3)</f>
        <v>615</v>
      </c>
      <c r="D3" s="3" t="n">
        <v>615</v>
      </c>
      <c r="E3" s="4" t="n">
        <f aca="false">C3-D3</f>
        <v>0</v>
      </c>
    </row>
    <row r="4" customFormat="false" ht="15" hidden="false" customHeight="false" outlineLevel="0" collapsed="false">
      <c r="A4" s="2" t="s">
        <v>120</v>
      </c>
      <c r="B4" s="4" t="n">
        <f aca="false">COUNTIF(Dataset!$A$2:$A$155,A4)</f>
        <v>19</v>
      </c>
      <c r="C4" s="4" t="n">
        <f aca="false">SUMIFS(Dataset!$F$2:$F$155,Dataset!$A$2:$A$155,A4)</f>
        <v>280</v>
      </c>
      <c r="D4" s="3" t="n">
        <v>280</v>
      </c>
      <c r="E4" s="4" t="n">
        <f aca="false">C4-D4</f>
        <v>0</v>
      </c>
    </row>
    <row r="5" customFormat="false" ht="15" hidden="false" customHeight="false" outlineLevel="0" collapsed="false">
      <c r="A5" s="2" t="s">
        <v>159</v>
      </c>
      <c r="B5" s="4" t="n">
        <f aca="false">COUNTIF(Dataset!$A$2:$A$155,A5)</f>
        <v>12</v>
      </c>
      <c r="C5" s="4" t="n">
        <f aca="false">SUMIFS(Dataset!$F$2:$F$155,Dataset!$A$2:$A$155,A5)</f>
        <v>238</v>
      </c>
      <c r="D5" s="3" t="n">
        <v>238</v>
      </c>
      <c r="E5" s="4" t="n">
        <f aca="false">C5-D5</f>
        <v>0</v>
      </c>
    </row>
    <row r="6" customFormat="false" ht="15" hidden="false" customHeight="false" outlineLevel="0" collapsed="false">
      <c r="A6" s="2" t="s">
        <v>184</v>
      </c>
      <c r="B6" s="4" t="n">
        <f aca="false">COUNTIF(Dataset!$A$2:$A$155,A6)</f>
        <v>11</v>
      </c>
      <c r="C6" s="4" t="n">
        <f aca="false">SUMIFS(Dataset!$F$2:$F$155,Dataset!$A$2:$A$155,A6)</f>
        <v>207</v>
      </c>
      <c r="D6" s="3" t="n">
        <v>207</v>
      </c>
      <c r="E6" s="4" t="n">
        <f aca="false">C6-D6</f>
        <v>0</v>
      </c>
    </row>
    <row r="7" customFormat="false" ht="15" hidden="false" customHeight="false" outlineLevel="0" collapsed="false">
      <c r="A7" s="2" t="s">
        <v>207</v>
      </c>
      <c r="B7" s="4" t="n">
        <f aca="false">COUNTIF(Dataset!$A$2:$A$155,A7)</f>
        <v>17</v>
      </c>
      <c r="C7" s="4" t="n">
        <f aca="false">SUMIFS(Dataset!$F$2:$F$155,Dataset!$A$2:$A$155,A7)</f>
        <v>348</v>
      </c>
      <c r="D7" s="3" t="n">
        <v>348</v>
      </c>
      <c r="E7" s="4" t="n">
        <f aca="false">C7-D7</f>
        <v>0</v>
      </c>
    </row>
    <row r="8" customFormat="false" ht="15" hidden="false" customHeight="false" outlineLevel="0" collapsed="false">
      <c r="A8" s="2" t="s">
        <v>242</v>
      </c>
      <c r="B8" s="4" t="n">
        <f aca="false">COUNTIF(Dataset!$A$2:$A$155,A8)</f>
        <v>10</v>
      </c>
      <c r="C8" s="4" t="n">
        <f aca="false">SUMIFS(Dataset!$F$2:$F$155,Dataset!$A$2:$A$155,A8)</f>
        <v>179</v>
      </c>
      <c r="D8" s="3" t="n">
        <v>179</v>
      </c>
      <c r="E8" s="4" t="n">
        <f aca="false">C8-D8</f>
        <v>0</v>
      </c>
    </row>
    <row r="9" customFormat="false" ht="15" hidden="false" customHeight="false" outlineLevel="0" collapsed="false">
      <c r="A9" s="2" t="s">
        <v>263</v>
      </c>
      <c r="B9" s="4" t="n">
        <f aca="false">COUNTIF(Dataset!$A$2:$A$155,A9)</f>
        <v>15</v>
      </c>
      <c r="C9" s="4" t="n">
        <f aca="false">SUMIFS(Dataset!$F$2:$F$155,Dataset!$A$2:$A$155,A9)</f>
        <v>318</v>
      </c>
      <c r="D9" s="3" t="n">
        <v>318</v>
      </c>
      <c r="E9" s="4" t="n">
        <f aca="false">C9-D9</f>
        <v>0</v>
      </c>
    </row>
    <row r="10" customFormat="false" ht="15" hidden="false" customHeight="false" outlineLevel="0" collapsed="false">
      <c r="A10" s="2" t="s">
        <v>294</v>
      </c>
      <c r="B10" s="4" t="n">
        <f aca="false">COUNTIF(Dataset!$A$2:$A$155,A10)</f>
        <v>7</v>
      </c>
      <c r="C10" s="4" t="n">
        <f aca="false">SUMIFS(Dataset!$F$2:$F$155,Dataset!$A$2:$A$155,A10)</f>
        <v>64</v>
      </c>
      <c r="D10" s="3" t="n">
        <v>64</v>
      </c>
      <c r="E10" s="4" t="n">
        <f aca="false">C10-D10</f>
        <v>0</v>
      </c>
    </row>
    <row r="11" customFormat="false" ht="15" hidden="false" customHeight="false" outlineLevel="0" collapsed="false">
      <c r="A11" s="2" t="s">
        <v>309</v>
      </c>
      <c r="B11" s="4" t="n">
        <f aca="false">COUNTIF(Dataset!$A$2:$A$155,A11)</f>
        <v>7</v>
      </c>
      <c r="C11" s="4" t="n">
        <f aca="false">SUMIFS(Dataset!$F$2:$F$155,Dataset!$A$2:$A$155,A11)</f>
        <v>93</v>
      </c>
      <c r="D11" s="3" t="n">
        <v>93</v>
      </c>
      <c r="E11" s="4" t="n">
        <f aca="false">C11-D11</f>
        <v>0</v>
      </c>
    </row>
    <row r="12" customFormat="false" ht="15" hidden="false" customHeight="false" outlineLevel="0" collapsed="false">
      <c r="A12" s="5" t="s">
        <v>328</v>
      </c>
      <c r="B12" s="6" t="n">
        <f aca="false">SUM(B2:B11)</f>
        <v>154</v>
      </c>
      <c r="C12" s="6" t="n">
        <f aca="false">SUM(C2:C11)</f>
        <v>2704</v>
      </c>
      <c r="D12" s="6" t="n">
        <f aca="false">SUM(D2:D11)</f>
        <v>2704</v>
      </c>
      <c r="E12" s="6" t="n">
        <f aca="false">SUM(E2:E11)</f>
        <v>0</v>
      </c>
    </row>
    <row r="14" customFormat="false" ht="15" hidden="false" customHeight="false" outlineLevel="0" collapsed="false">
      <c r="A14" s="7" t="s">
        <v>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8" t="s">
        <v>330</v>
      </c>
      <c r="B1" s="8" t="s">
        <v>331</v>
      </c>
    </row>
    <row r="2" customFormat="false" ht="15" hidden="false" customHeight="false" outlineLevel="0" collapsed="false">
      <c r="A2" s="9" t="s">
        <v>332</v>
      </c>
      <c r="B2" s="10" t="s">
        <v>333</v>
      </c>
    </row>
    <row r="3" customFormat="false" ht="23.85" hidden="false" customHeight="false" outlineLevel="0" collapsed="false">
      <c r="A3" s="9" t="s">
        <v>334</v>
      </c>
      <c r="B3" s="10" t="s">
        <v>335</v>
      </c>
    </row>
    <row r="4" customFormat="false" ht="23.85" hidden="false" customHeight="false" outlineLevel="0" collapsed="false">
      <c r="A4" s="9" t="s">
        <v>336</v>
      </c>
      <c r="B4" s="10" t="s">
        <v>337</v>
      </c>
    </row>
    <row r="5" customFormat="false" ht="23.85" hidden="false" customHeight="false" outlineLevel="0" collapsed="false">
      <c r="A5" s="9" t="s">
        <v>338</v>
      </c>
      <c r="B5" s="10" t="s">
        <v>339</v>
      </c>
    </row>
    <row r="6" customFormat="false" ht="15" hidden="false" customHeight="false" outlineLevel="0" collapsed="false">
      <c r="A6" s="9" t="s">
        <v>340</v>
      </c>
      <c r="B6" s="10" t="s">
        <v>341</v>
      </c>
    </row>
    <row r="7" customFormat="false" ht="15" hidden="false" customHeight="false" outlineLevel="0" collapsed="false">
      <c r="A7" s="9" t="s">
        <v>342</v>
      </c>
      <c r="B7" s="10" t="s">
        <v>343</v>
      </c>
    </row>
    <row r="8" customFormat="false" ht="15" hidden="false" customHeight="false" outlineLevel="0" collapsed="false">
      <c r="A8" s="9" t="s">
        <v>344</v>
      </c>
      <c r="B8" s="10" t="s">
        <v>345</v>
      </c>
    </row>
    <row r="9" customFormat="false" ht="15" hidden="false" customHeight="false" outlineLevel="0" collapsed="false">
      <c r="A9" s="9" t="s">
        <v>346</v>
      </c>
      <c r="B9" s="10" t="s">
        <v>347</v>
      </c>
    </row>
    <row r="10" customFormat="false" ht="15" hidden="false" customHeight="false" outlineLevel="0" collapsed="false">
      <c r="A10" s="9" t="s">
        <v>348</v>
      </c>
      <c r="B10" s="10" t="s">
        <v>349</v>
      </c>
    </row>
    <row r="11" customFormat="false" ht="15" hidden="false" customHeight="false" outlineLevel="0" collapsed="false">
      <c r="A11" s="9" t="s">
        <v>350</v>
      </c>
      <c r="B11" s="10" t="s">
        <v>351</v>
      </c>
    </row>
    <row r="12" customFormat="false" ht="15" hidden="false" customHeight="false" outlineLevel="0" collapsed="false">
      <c r="A12" s="9" t="s">
        <v>352</v>
      </c>
      <c r="B12" s="10" t="s">
        <v>353</v>
      </c>
    </row>
    <row r="13" customFormat="false" ht="15" hidden="false" customHeight="false" outlineLevel="0" collapsed="false">
      <c r="A13" s="9" t="s">
        <v>354</v>
      </c>
      <c r="B13" s="10" t="s">
        <v>355</v>
      </c>
    </row>
    <row r="14" customFormat="false" ht="15" hidden="false" customHeight="false" outlineLevel="0" collapsed="false">
      <c r="A14" s="9" t="s">
        <v>356</v>
      </c>
      <c r="B14" s="10" t="s">
        <v>357</v>
      </c>
    </row>
    <row r="15" customFormat="false" ht="23.85" hidden="false" customHeight="false" outlineLevel="0" collapsed="false">
      <c r="A15" s="9" t="s">
        <v>358</v>
      </c>
      <c r="B15" s="10" t="s">
        <v>359</v>
      </c>
    </row>
    <row r="16" customFormat="false" ht="15" hidden="false" customHeight="false" outlineLevel="0" collapsed="false">
      <c r="A16" s="9" t="s">
        <v>360</v>
      </c>
      <c r="B16" s="10" t="s">
        <v>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2026-10-14T06:04:12Z</dcterms:created>
  <dc:creator>openpyxl</dc:creator>
  <dc:description/>
  <dc:language>en-US</dc:language>
  <cp:lastModifiedBy/>
  <dcterms:modified xsi:type="dcterms:W3CDTF">2026-10-14T06:04:12Z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